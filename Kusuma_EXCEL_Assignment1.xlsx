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usuma\Desktop\skill mount\"/>
    </mc:Choice>
  </mc:AlternateContent>
  <xr:revisionPtr revIDLastSave="0" documentId="8_{1DA0EB5E-54A0-4E39-A8E2-61118EC7267F}" xr6:coauthVersionLast="47" xr6:coauthVersionMax="47" xr10:uidLastSave="{00000000-0000-0000-0000-000000000000}"/>
  <bookViews>
    <workbookView xWindow="-110" yWindow="-110" windowWidth="19420" windowHeight="11500" firstSheet="4" activeTab="9" xr2:uid="{00000000-000D-0000-FFFF-FFFF00000000}"/>
  </bookViews>
  <sheets>
    <sheet name="Excel_Data_Analytics_Dataset" sheetId="1" r:id="rId1"/>
    <sheet name=" Employee_Salary" sheetId="2" r:id="rId2"/>
    <sheet name="Assg -1" sheetId="3" r:id="rId3"/>
    <sheet name="Assg-2" sheetId="4" r:id="rId4"/>
    <sheet name="Assg" sheetId="5" r:id="rId5"/>
    <sheet name="Product" sheetId="6" r:id="rId6"/>
    <sheet name="Pivot 1" sheetId="7" r:id="rId7"/>
    <sheet name="pivot Tables" sheetId="8" r:id="rId8"/>
    <sheet name="Charts" sheetId="9" r:id="rId9"/>
    <sheet name="Dashboard" sheetId="11" r:id="rId10"/>
    <sheet name="Final Task" sheetId="12" r:id="rId11"/>
  </sheets>
  <definedNames>
    <definedName name="_xlnm._FilterDatabase" localSheetId="4" hidden="1">Assg!$A$1:$T$201</definedName>
    <definedName name="Slicer_Category">#N/A</definedName>
    <definedName name="Slicer_Product">#N/A</definedName>
    <definedName name="Slicer_Region">#N/A</definedName>
    <definedName name="Slicer_SalesPerson">#N/A</definedName>
  </definedNames>
  <calcPr calcId="191029"/>
  <pivotCaches>
    <pivotCache cacheId="18" r:id="rId12"/>
  </pivotCaches>
  <fileRecoveryPr dataExtractLoad="1"/>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0" i="8" l="1"/>
  <c r="I22" i="8" a="1"/>
  <c r="I22" i="8" s="1"/>
  <c r="F3" i="8"/>
  <c r="Q201" i="7"/>
  <c r="P201" i="7"/>
  <c r="O201" i="7"/>
  <c r="M201" i="7" a="1"/>
  <c r="M201" i="7" s="1"/>
  <c r="N201" i="7" s="1"/>
  <c r="J201" i="7"/>
  <c r="L201" i="7" s="1" a="1"/>
  <c r="L201" i="7" s="1"/>
  <c r="Q200" i="7"/>
  <c r="P200" i="7"/>
  <c r="O200" i="7"/>
  <c r="M200" i="7"/>
  <c r="N200" i="7" s="1"/>
  <c r="M200" i="7" a="1"/>
  <c r="J200" i="7"/>
  <c r="Q199" i="7"/>
  <c r="P199" i="7"/>
  <c r="O199" i="7"/>
  <c r="M199" i="7" a="1"/>
  <c r="M199" i="7" s="1"/>
  <c r="N199" i="7" s="1"/>
  <c r="J199" i="7"/>
  <c r="Q198" i="7"/>
  <c r="P198" i="7"/>
  <c r="O198" i="7"/>
  <c r="M198" i="7" a="1"/>
  <c r="M198" i="7" s="1"/>
  <c r="N198" i="7" s="1"/>
  <c r="L198" i="7" a="1"/>
  <c r="L198" i="7" s="1"/>
  <c r="J198" i="7"/>
  <c r="K198" i="7" s="1"/>
  <c r="Q197" i="7"/>
  <c r="P197" i="7"/>
  <c r="O197" i="7"/>
  <c r="M197" i="7" a="1"/>
  <c r="M197" i="7" s="1"/>
  <c r="N197" i="7" s="1"/>
  <c r="J197" i="7"/>
  <c r="L197" i="7" s="1" a="1"/>
  <c r="L197" i="7" s="1"/>
  <c r="Q196" i="7"/>
  <c r="P196" i="7"/>
  <c r="O196" i="7"/>
  <c r="M196" i="7"/>
  <c r="N196" i="7" s="1"/>
  <c r="M196" i="7" a="1"/>
  <c r="J196" i="7"/>
  <c r="Q195" i="7"/>
  <c r="P195" i="7"/>
  <c r="O195" i="7"/>
  <c r="M195" i="7" a="1"/>
  <c r="M195" i="7" s="1"/>
  <c r="N195" i="7" s="1"/>
  <c r="J195" i="7"/>
  <c r="L195" i="7" s="1" a="1"/>
  <c r="L195" i="7" s="1"/>
  <c r="Q194" i="7"/>
  <c r="P194" i="7"/>
  <c r="O194" i="7"/>
  <c r="M194" i="7" a="1"/>
  <c r="M194" i="7" s="1"/>
  <c r="N194" i="7" s="1"/>
  <c r="J194" i="7"/>
  <c r="L194" i="7" s="1" a="1"/>
  <c r="L194" i="7" s="1"/>
  <c r="Q193" i="7"/>
  <c r="P193" i="7"/>
  <c r="O193" i="7"/>
  <c r="M193" i="7"/>
  <c r="N193" i="7" s="1"/>
  <c r="M193" i="7" a="1"/>
  <c r="L193" i="7" a="1"/>
  <c r="L193" i="7" s="1"/>
  <c r="J193" i="7"/>
  <c r="K193" i="7" s="1"/>
  <c r="Q192" i="7"/>
  <c r="P192" i="7"/>
  <c r="O192" i="7"/>
  <c r="M192" i="7" a="1"/>
  <c r="M192" i="7" s="1"/>
  <c r="N192" i="7" s="1"/>
  <c r="L192" i="7"/>
  <c r="L192" i="7" a="1"/>
  <c r="K192" i="7"/>
  <c r="J192" i="7"/>
  <c r="Q191" i="7"/>
  <c r="P191" i="7"/>
  <c r="O191" i="7"/>
  <c r="M191" i="7" a="1"/>
  <c r="M191" i="7" s="1"/>
  <c r="N191" i="7" s="1"/>
  <c r="K191" i="7"/>
  <c r="J191" i="7"/>
  <c r="L191" i="7" s="1" a="1"/>
  <c r="L191" i="7" s="1"/>
  <c r="Q190" i="7"/>
  <c r="P190" i="7"/>
  <c r="O190" i="7"/>
  <c r="M190" i="7" a="1"/>
  <c r="M190" i="7" s="1"/>
  <c r="N190" i="7" s="1"/>
  <c r="J190" i="7"/>
  <c r="L190" i="7" s="1" a="1"/>
  <c r="L190" i="7" s="1"/>
  <c r="Q189" i="7"/>
  <c r="P189" i="7"/>
  <c r="O189" i="7"/>
  <c r="M189" i="7"/>
  <c r="N189" i="7" s="1"/>
  <c r="M189" i="7" a="1"/>
  <c r="J189" i="7"/>
  <c r="Q188" i="7"/>
  <c r="P188" i="7"/>
  <c r="O188" i="7"/>
  <c r="M188" i="7" a="1"/>
  <c r="M188" i="7" s="1"/>
  <c r="N188" i="7" s="1"/>
  <c r="J188" i="7"/>
  <c r="L188" i="7" s="1" a="1"/>
  <c r="L188" i="7" s="1"/>
  <c r="Q187" i="7"/>
  <c r="P187" i="7"/>
  <c r="O187" i="7"/>
  <c r="M187" i="7" a="1"/>
  <c r="M187" i="7" s="1"/>
  <c r="N187" i="7" s="1"/>
  <c r="L187" i="7" a="1"/>
  <c r="L187" i="7" s="1"/>
  <c r="J187" i="7"/>
  <c r="K187" i="7" s="1"/>
  <c r="Q186" i="7"/>
  <c r="P186" i="7"/>
  <c r="O186" i="7"/>
  <c r="M186" i="7" a="1"/>
  <c r="M186" i="7" s="1"/>
  <c r="N186" i="7" s="1"/>
  <c r="J186" i="7"/>
  <c r="L186" i="7" s="1" a="1"/>
  <c r="L186" i="7" s="1"/>
  <c r="Q185" i="7"/>
  <c r="P185" i="7"/>
  <c r="O185" i="7"/>
  <c r="M185" i="7" a="1"/>
  <c r="M185" i="7" s="1"/>
  <c r="N185" i="7" s="1"/>
  <c r="L185" i="7"/>
  <c r="L185" i="7" a="1"/>
  <c r="K185" i="7"/>
  <c r="J185" i="7"/>
  <c r="Q184" i="7"/>
  <c r="P184" i="7"/>
  <c r="O184" i="7"/>
  <c r="M184" i="7"/>
  <c r="N184" i="7" s="1"/>
  <c r="M184" i="7" a="1"/>
  <c r="J184" i="7"/>
  <c r="L184" i="7" s="1" a="1"/>
  <c r="L184" i="7" s="1"/>
  <c r="Q183" i="7"/>
  <c r="P183" i="7"/>
  <c r="O183" i="7"/>
  <c r="M183" i="7" a="1"/>
  <c r="M183" i="7" s="1"/>
  <c r="N183" i="7" s="1"/>
  <c r="L183" i="7" a="1"/>
  <c r="L183" i="7" s="1"/>
  <c r="K183" i="7"/>
  <c r="J183" i="7"/>
  <c r="Q182" i="7"/>
  <c r="P182" i="7"/>
  <c r="O182" i="7"/>
  <c r="M182" i="7" a="1"/>
  <c r="M182" i="7" s="1"/>
  <c r="N182" i="7" s="1"/>
  <c r="L182" i="7" a="1"/>
  <c r="L182" i="7" s="1"/>
  <c r="J182" i="7"/>
  <c r="K182" i="7" s="1"/>
  <c r="Q181" i="7"/>
  <c r="P181" i="7"/>
  <c r="O181" i="7"/>
  <c r="M181" i="7" a="1"/>
  <c r="M181" i="7" s="1"/>
  <c r="N181" i="7" s="1"/>
  <c r="J181" i="7"/>
  <c r="Q180" i="7"/>
  <c r="P180" i="7"/>
  <c r="O180" i="7"/>
  <c r="N180" i="7"/>
  <c r="M180" i="7" a="1"/>
  <c r="M180" i="7" s="1"/>
  <c r="L180" i="7" a="1"/>
  <c r="L180" i="7" s="1"/>
  <c r="K180" i="7"/>
  <c r="J180" i="7"/>
  <c r="Q179" i="7"/>
  <c r="P179" i="7"/>
  <c r="O179" i="7"/>
  <c r="M179" i="7" a="1"/>
  <c r="M179" i="7" s="1"/>
  <c r="N179" i="7" s="1"/>
  <c r="L179" i="7" a="1"/>
  <c r="L179" i="7" s="1"/>
  <c r="J179" i="7"/>
  <c r="K179" i="7" s="1"/>
  <c r="Q178" i="7"/>
  <c r="P178" i="7"/>
  <c r="O178" i="7"/>
  <c r="M178" i="7" a="1"/>
  <c r="M178" i="7" s="1"/>
  <c r="N178" i="7" s="1"/>
  <c r="L178" i="7" a="1"/>
  <c r="L178" i="7" s="1"/>
  <c r="J178" i="7"/>
  <c r="K178" i="7" s="1"/>
  <c r="Q177" i="7"/>
  <c r="P177" i="7"/>
  <c r="O177" i="7"/>
  <c r="M177" i="7" a="1"/>
  <c r="M177" i="7" s="1"/>
  <c r="N177" i="7" s="1"/>
  <c r="J177" i="7"/>
  <c r="Q176" i="7"/>
  <c r="P176" i="7"/>
  <c r="O176" i="7"/>
  <c r="M176" i="7" a="1"/>
  <c r="M176" i="7" s="1"/>
  <c r="N176" i="7" s="1"/>
  <c r="J176" i="7"/>
  <c r="L176" i="7" s="1" a="1"/>
  <c r="L176" i="7" s="1"/>
  <c r="Q175" i="7"/>
  <c r="P175" i="7"/>
  <c r="O175" i="7"/>
  <c r="M175" i="7"/>
  <c r="N175" i="7" s="1"/>
  <c r="M175" i="7" a="1"/>
  <c r="J175" i="7"/>
  <c r="K175" i="7" s="1"/>
  <c r="Q174" i="7"/>
  <c r="P174" i="7"/>
  <c r="O174" i="7"/>
  <c r="M174" i="7" a="1"/>
  <c r="M174" i="7" s="1"/>
  <c r="N174" i="7" s="1"/>
  <c r="L174" i="7"/>
  <c r="L174" i="7" a="1"/>
  <c r="J174" i="7"/>
  <c r="K174" i="7" s="1"/>
  <c r="Q173" i="7"/>
  <c r="P173" i="7"/>
  <c r="O173" i="7"/>
  <c r="M173" i="7" a="1"/>
  <c r="M173" i="7" s="1"/>
  <c r="N173" i="7" s="1"/>
  <c r="J173" i="7"/>
  <c r="L173" i="7" s="1" a="1"/>
  <c r="L173" i="7" s="1"/>
  <c r="Q172" i="7"/>
  <c r="P172" i="7"/>
  <c r="O172" i="7"/>
  <c r="M172" i="7"/>
  <c r="N172" i="7" s="1"/>
  <c r="M172" i="7" a="1"/>
  <c r="J172" i="7"/>
  <c r="Q171" i="7"/>
  <c r="P171" i="7"/>
  <c r="O171" i="7"/>
  <c r="M171" i="7" a="1"/>
  <c r="M171" i="7" s="1"/>
  <c r="N171" i="7" s="1"/>
  <c r="L171" i="7"/>
  <c r="L171" i="7" a="1"/>
  <c r="K171" i="7"/>
  <c r="J171" i="7"/>
  <c r="Q170" i="7"/>
  <c r="P170" i="7"/>
  <c r="O170" i="7"/>
  <c r="M170" i="7" a="1"/>
  <c r="M170" i="7" s="1"/>
  <c r="N170" i="7" s="1"/>
  <c r="J170" i="7"/>
  <c r="L170" i="7" s="1" a="1"/>
  <c r="L170" i="7" s="1"/>
  <c r="Q169" i="7"/>
  <c r="P169" i="7"/>
  <c r="O169" i="7"/>
  <c r="M169" i="7" a="1"/>
  <c r="M169" i="7" s="1"/>
  <c r="N169" i="7" s="1"/>
  <c r="L169" i="7" a="1"/>
  <c r="L169" i="7" s="1"/>
  <c r="K169" i="7"/>
  <c r="J169" i="7"/>
  <c r="Q168" i="7"/>
  <c r="P168" i="7"/>
  <c r="O168" i="7"/>
  <c r="M168" i="7" a="1"/>
  <c r="M168" i="7" s="1"/>
  <c r="N168" i="7" s="1"/>
  <c r="J168" i="7"/>
  <c r="Q167" i="7"/>
  <c r="P167" i="7"/>
  <c r="O167" i="7"/>
  <c r="M167" i="7" a="1"/>
  <c r="M167" i="7" s="1"/>
  <c r="N167" i="7" s="1"/>
  <c r="J167" i="7"/>
  <c r="L167" i="7" s="1" a="1"/>
  <c r="L167" i="7" s="1"/>
  <c r="Q166" i="7"/>
  <c r="P166" i="7"/>
  <c r="O166" i="7"/>
  <c r="M166" i="7"/>
  <c r="N166" i="7" s="1"/>
  <c r="M166" i="7" a="1"/>
  <c r="L166" i="7" a="1"/>
  <c r="L166" i="7" s="1"/>
  <c r="J166" i="7"/>
  <c r="K166" i="7" s="1"/>
  <c r="Q165" i="7"/>
  <c r="P165" i="7"/>
  <c r="O165" i="7"/>
  <c r="M165" i="7" a="1"/>
  <c r="M165" i="7" s="1"/>
  <c r="N165" i="7" s="1"/>
  <c r="J165" i="7"/>
  <c r="L165" i="7" s="1" a="1"/>
  <c r="L165" i="7" s="1"/>
  <c r="Q164" i="7"/>
  <c r="P164" i="7"/>
  <c r="O164" i="7"/>
  <c r="M164" i="7" a="1"/>
  <c r="M164" i="7" s="1"/>
  <c r="N164" i="7" s="1"/>
  <c r="L164" i="7"/>
  <c r="L164" i="7" a="1"/>
  <c r="K164" i="7"/>
  <c r="J164" i="7"/>
  <c r="Q163" i="7"/>
  <c r="P163" i="7"/>
  <c r="O163" i="7"/>
  <c r="M163" i="7" a="1"/>
  <c r="M163" i="7" s="1"/>
  <c r="N163" i="7" s="1"/>
  <c r="J163" i="7"/>
  <c r="L163" i="7" s="1" a="1"/>
  <c r="L163" i="7" s="1"/>
  <c r="Q162" i="7"/>
  <c r="P162" i="7"/>
  <c r="O162" i="7"/>
  <c r="M162" i="7" a="1"/>
  <c r="M162" i="7" s="1"/>
  <c r="N162" i="7" s="1"/>
  <c r="L162" i="7" a="1"/>
  <c r="L162" i="7" s="1"/>
  <c r="J162" i="7"/>
  <c r="K162" i="7" s="1"/>
  <c r="Q161" i="7"/>
  <c r="P161" i="7"/>
  <c r="O161" i="7"/>
  <c r="M161" i="7" a="1"/>
  <c r="M161" i="7" s="1"/>
  <c r="N161" i="7" s="1"/>
  <c r="J161" i="7"/>
  <c r="L161" i="7" s="1" a="1"/>
  <c r="L161" i="7" s="1"/>
  <c r="Q160" i="7"/>
  <c r="P160" i="7"/>
  <c r="O160" i="7"/>
  <c r="M160" i="7"/>
  <c r="N160" i="7" s="1"/>
  <c r="M160" i="7" a="1"/>
  <c r="L160" i="7" a="1"/>
  <c r="L160" i="7" s="1"/>
  <c r="K160" i="7"/>
  <c r="J160" i="7"/>
  <c r="Q159" i="7"/>
  <c r="P159" i="7"/>
  <c r="O159" i="7"/>
  <c r="M159" i="7" a="1"/>
  <c r="M159" i="7" s="1"/>
  <c r="N159" i="7" s="1"/>
  <c r="L159" i="7" a="1"/>
  <c r="L159" i="7" s="1"/>
  <c r="K159" i="7"/>
  <c r="J159" i="7"/>
  <c r="Q158" i="7"/>
  <c r="P158" i="7"/>
  <c r="O158" i="7"/>
  <c r="M158" i="7" a="1"/>
  <c r="M158" i="7" s="1"/>
  <c r="N158" i="7" s="1"/>
  <c r="L158" i="7" a="1"/>
  <c r="L158" i="7" s="1"/>
  <c r="J158" i="7"/>
  <c r="K158" i="7" s="1"/>
  <c r="Q157" i="7"/>
  <c r="P157" i="7"/>
  <c r="O157" i="7"/>
  <c r="M157" i="7" a="1"/>
  <c r="M157" i="7" s="1"/>
  <c r="N157" i="7" s="1"/>
  <c r="J157" i="7"/>
  <c r="Q156" i="7"/>
  <c r="P156" i="7"/>
  <c r="O156" i="7"/>
  <c r="M156" i="7" a="1"/>
  <c r="M156" i="7" s="1"/>
  <c r="N156" i="7" s="1"/>
  <c r="J156" i="7"/>
  <c r="L156" i="7" s="1" a="1"/>
  <c r="L156" i="7" s="1"/>
  <c r="Q155" i="7"/>
  <c r="P155" i="7"/>
  <c r="O155" i="7"/>
  <c r="M155" i="7" a="1"/>
  <c r="M155" i="7" s="1"/>
  <c r="N155" i="7" s="1"/>
  <c r="J155" i="7"/>
  <c r="K155" i="7" s="1"/>
  <c r="Q154" i="7"/>
  <c r="P154" i="7"/>
  <c r="O154" i="7"/>
  <c r="M154" i="7" a="1"/>
  <c r="M154" i="7" s="1"/>
  <c r="N154" i="7" s="1"/>
  <c r="L154" i="7" a="1"/>
  <c r="L154" i="7" s="1"/>
  <c r="K154" i="7"/>
  <c r="J154" i="7"/>
  <c r="Q153" i="7"/>
  <c r="P153" i="7"/>
  <c r="O153" i="7"/>
  <c r="M153" i="7"/>
  <c r="N153" i="7" s="1"/>
  <c r="M153" i="7" a="1"/>
  <c r="J153" i="7"/>
  <c r="L153" i="7" s="1" a="1"/>
  <c r="L153" i="7" s="1"/>
  <c r="Q152" i="7"/>
  <c r="P152" i="7"/>
  <c r="O152" i="7"/>
  <c r="M152" i="7" a="1"/>
  <c r="M152" i="7" s="1"/>
  <c r="N152" i="7" s="1"/>
  <c r="J152" i="7"/>
  <c r="L152" i="7" s="1" a="1"/>
  <c r="L152" i="7" s="1"/>
  <c r="Q151" i="7"/>
  <c r="P151" i="7"/>
  <c r="O151" i="7"/>
  <c r="M151" i="7" a="1"/>
  <c r="M151" i="7" s="1"/>
  <c r="N151" i="7" s="1"/>
  <c r="K151" i="7"/>
  <c r="J151" i="7"/>
  <c r="L151" i="7" s="1" a="1"/>
  <c r="L151" i="7" s="1"/>
  <c r="Q150" i="7"/>
  <c r="P150" i="7"/>
  <c r="O150" i="7"/>
  <c r="M150" i="7" a="1"/>
  <c r="M150" i="7" s="1"/>
  <c r="N150" i="7" s="1"/>
  <c r="J150" i="7"/>
  <c r="L150" i="7" s="1" a="1"/>
  <c r="L150" i="7" s="1"/>
  <c r="Q149" i="7"/>
  <c r="P149" i="7"/>
  <c r="O149" i="7"/>
  <c r="M149" i="7" a="1"/>
  <c r="M149" i="7" s="1"/>
  <c r="N149" i="7" s="1"/>
  <c r="J149" i="7"/>
  <c r="Q148" i="7"/>
  <c r="P148" i="7"/>
  <c r="O148" i="7"/>
  <c r="M148" i="7" a="1"/>
  <c r="M148" i="7" s="1"/>
  <c r="N148" i="7" s="1"/>
  <c r="J148" i="7"/>
  <c r="Q147" i="7"/>
  <c r="P147" i="7"/>
  <c r="O147" i="7"/>
  <c r="M147" i="7" a="1"/>
  <c r="M147" i="7" s="1"/>
  <c r="N147" i="7" s="1"/>
  <c r="L147" i="7" a="1"/>
  <c r="L147" i="7" s="1"/>
  <c r="J147" i="7"/>
  <c r="K147" i="7" s="1"/>
  <c r="Q146" i="7"/>
  <c r="P146" i="7"/>
  <c r="O146" i="7"/>
  <c r="M146" i="7" a="1"/>
  <c r="M146" i="7" s="1"/>
  <c r="N146" i="7" s="1"/>
  <c r="J146" i="7"/>
  <c r="L146" i="7" s="1" a="1"/>
  <c r="L146" i="7" s="1"/>
  <c r="Q145" i="7"/>
  <c r="P145" i="7"/>
  <c r="O145" i="7"/>
  <c r="M145" i="7" a="1"/>
  <c r="M145" i="7" s="1"/>
  <c r="N145" i="7" s="1"/>
  <c r="L145" i="7" a="1"/>
  <c r="L145" i="7" s="1"/>
  <c r="K145" i="7"/>
  <c r="J145" i="7"/>
  <c r="Q144" i="7"/>
  <c r="P144" i="7"/>
  <c r="O144" i="7"/>
  <c r="M144" i="7"/>
  <c r="N144" i="7" s="1"/>
  <c r="M144" i="7" a="1"/>
  <c r="J144" i="7"/>
  <c r="L144" i="7" s="1" a="1"/>
  <c r="L144" i="7" s="1"/>
  <c r="Q143" i="7"/>
  <c r="P143" i="7"/>
  <c r="O143" i="7"/>
  <c r="M143" i="7" a="1"/>
  <c r="M143" i="7" s="1"/>
  <c r="N143" i="7" s="1"/>
  <c r="J143" i="7"/>
  <c r="L143" i="7" s="1" a="1"/>
  <c r="L143" i="7" s="1"/>
  <c r="Q142" i="7"/>
  <c r="P142" i="7"/>
  <c r="O142" i="7"/>
  <c r="M142" i="7" a="1"/>
  <c r="M142" i="7" s="1"/>
  <c r="N142" i="7" s="1"/>
  <c r="J142" i="7"/>
  <c r="L142" i="7" s="1" a="1"/>
  <c r="L142" i="7" s="1"/>
  <c r="Q141" i="7"/>
  <c r="P141" i="7"/>
  <c r="O141" i="7"/>
  <c r="M141" i="7"/>
  <c r="N141" i="7" s="1"/>
  <c r="M141" i="7" a="1"/>
  <c r="L141" i="7" a="1"/>
  <c r="L141" i="7" s="1"/>
  <c r="J141" i="7"/>
  <c r="K141" i="7" s="1"/>
  <c r="Q140" i="7"/>
  <c r="P140" i="7"/>
  <c r="O140" i="7"/>
  <c r="M140" i="7" a="1"/>
  <c r="M140" i="7" s="1"/>
  <c r="N140" i="7" s="1"/>
  <c r="J140" i="7"/>
  <c r="L140" i="7" s="1" a="1"/>
  <c r="L140" i="7" s="1"/>
  <c r="Q139" i="7"/>
  <c r="P139" i="7"/>
  <c r="O139" i="7"/>
  <c r="M139" i="7" a="1"/>
  <c r="M139" i="7" s="1"/>
  <c r="N139" i="7" s="1"/>
  <c r="J139" i="7"/>
  <c r="L139" i="7" s="1" a="1"/>
  <c r="L139" i="7" s="1"/>
  <c r="Q138" i="7"/>
  <c r="P138" i="7"/>
  <c r="O138" i="7"/>
  <c r="M138" i="7" a="1"/>
  <c r="M138" i="7" s="1"/>
  <c r="N138" i="7" s="1"/>
  <c r="L138" i="7" a="1"/>
  <c r="L138" i="7" s="1"/>
  <c r="K138" i="7"/>
  <c r="J138" i="7"/>
  <c r="Q137" i="7"/>
  <c r="P137" i="7"/>
  <c r="O137" i="7"/>
  <c r="M137" i="7" a="1"/>
  <c r="M137" i="7" s="1"/>
  <c r="N137" i="7" s="1"/>
  <c r="L137" i="7" a="1"/>
  <c r="L137" i="7" s="1"/>
  <c r="J137" i="7"/>
  <c r="K137" i="7" s="1"/>
  <c r="Q136" i="7"/>
  <c r="P136" i="7"/>
  <c r="O136" i="7"/>
  <c r="M136" i="7" a="1"/>
  <c r="M136" i="7" s="1"/>
  <c r="N136" i="7" s="1"/>
  <c r="L136" i="7" a="1"/>
  <c r="L136" i="7" s="1"/>
  <c r="J136" i="7"/>
  <c r="K136" i="7" s="1"/>
  <c r="Q135" i="7"/>
  <c r="P135" i="7"/>
  <c r="O135" i="7"/>
  <c r="M135" i="7" a="1"/>
  <c r="M135" i="7" s="1"/>
  <c r="N135" i="7" s="1"/>
  <c r="J135" i="7"/>
  <c r="K135" i="7" s="1"/>
  <c r="Q134" i="7"/>
  <c r="P134" i="7"/>
  <c r="O134" i="7"/>
  <c r="M134" i="7" a="1"/>
  <c r="M134" i="7" s="1"/>
  <c r="N134" i="7" s="1"/>
  <c r="J134" i="7"/>
  <c r="L134" i="7" s="1" a="1"/>
  <c r="L134" i="7" s="1"/>
  <c r="Q133" i="7"/>
  <c r="P133" i="7"/>
  <c r="O133" i="7"/>
  <c r="M133" i="7"/>
  <c r="N133" i="7" s="1"/>
  <c r="M133" i="7" a="1"/>
  <c r="J133" i="7"/>
  <c r="L133" i="7" s="1" a="1"/>
  <c r="L133" i="7" s="1"/>
  <c r="Q132" i="7"/>
  <c r="P132" i="7"/>
  <c r="O132" i="7"/>
  <c r="M132" i="7"/>
  <c r="N132" i="7" s="1"/>
  <c r="M132" i="7" a="1"/>
  <c r="L132" i="7" a="1"/>
  <c r="L132" i="7" s="1"/>
  <c r="K132" i="7"/>
  <c r="J132" i="7"/>
  <c r="Q131" i="7"/>
  <c r="P131" i="7"/>
  <c r="O131" i="7"/>
  <c r="M131" i="7" a="1"/>
  <c r="M131" i="7" s="1"/>
  <c r="N131" i="7" s="1"/>
  <c r="J131" i="7"/>
  <c r="L131" i="7" s="1" a="1"/>
  <c r="L131" i="7" s="1"/>
  <c r="Q130" i="7"/>
  <c r="P130" i="7"/>
  <c r="O130" i="7"/>
  <c r="M130" i="7" a="1"/>
  <c r="M130" i="7" s="1"/>
  <c r="N130" i="7" s="1"/>
  <c r="J130" i="7"/>
  <c r="L130" i="7" s="1" a="1"/>
  <c r="L130" i="7" s="1"/>
  <c r="Q129" i="7"/>
  <c r="P129" i="7"/>
  <c r="O129" i="7"/>
  <c r="M129" i="7" a="1"/>
  <c r="M129" i="7" s="1"/>
  <c r="N129" i="7" s="1"/>
  <c r="L129" i="7" a="1"/>
  <c r="L129" i="7" s="1"/>
  <c r="J129" i="7"/>
  <c r="K129" i="7" s="1"/>
  <c r="Q128" i="7"/>
  <c r="P128" i="7"/>
  <c r="O128" i="7"/>
  <c r="M128" i="7" a="1"/>
  <c r="M128" i="7" s="1"/>
  <c r="N128" i="7" s="1"/>
  <c r="J128" i="7"/>
  <c r="Q127" i="7"/>
  <c r="P127" i="7"/>
  <c r="O127" i="7"/>
  <c r="M127" i="7"/>
  <c r="N127" i="7" s="1"/>
  <c r="M127" i="7" a="1"/>
  <c r="J127" i="7"/>
  <c r="Q126" i="7"/>
  <c r="P126" i="7"/>
  <c r="O126" i="7"/>
  <c r="M126" i="7" a="1"/>
  <c r="M126" i="7" s="1"/>
  <c r="N126" i="7" s="1"/>
  <c r="L126" i="7" a="1"/>
  <c r="L126" i="7" s="1"/>
  <c r="J126" i="7"/>
  <c r="K126" i="7" s="1"/>
  <c r="Q125" i="7"/>
  <c r="P125" i="7"/>
  <c r="O125" i="7"/>
  <c r="M125" i="7" a="1"/>
  <c r="M125" i="7" s="1"/>
  <c r="N125" i="7" s="1"/>
  <c r="J125" i="7"/>
  <c r="L125" i="7" s="1" a="1"/>
  <c r="L125" i="7" s="1"/>
  <c r="Q124" i="7"/>
  <c r="P124" i="7"/>
  <c r="O124" i="7"/>
  <c r="M124" i="7"/>
  <c r="N124" i="7" s="1"/>
  <c r="M124" i="7" a="1"/>
  <c r="L124" i="7" a="1"/>
  <c r="L124" i="7" s="1"/>
  <c r="K124" i="7"/>
  <c r="J124" i="7"/>
  <c r="Q123" i="7"/>
  <c r="P123" i="7"/>
  <c r="O123" i="7"/>
  <c r="M123" i="7" a="1"/>
  <c r="M123" i="7" s="1"/>
  <c r="N123" i="7" s="1"/>
  <c r="L123" i="7" a="1"/>
  <c r="L123" i="7" s="1"/>
  <c r="K123" i="7"/>
  <c r="J123" i="7"/>
  <c r="Q122" i="7"/>
  <c r="P122" i="7"/>
  <c r="O122" i="7"/>
  <c r="M122" i="7" a="1"/>
  <c r="M122" i="7" s="1"/>
  <c r="N122" i="7" s="1"/>
  <c r="J122" i="7"/>
  <c r="L122" i="7" s="1" a="1"/>
  <c r="L122" i="7" s="1"/>
  <c r="Q121" i="7"/>
  <c r="P121" i="7"/>
  <c r="O121" i="7"/>
  <c r="M121" i="7"/>
  <c r="N121" i="7" s="1"/>
  <c r="M121" i="7" a="1"/>
  <c r="J121" i="7"/>
  <c r="Q120" i="7"/>
  <c r="P120" i="7"/>
  <c r="O120" i="7"/>
  <c r="M120" i="7" a="1"/>
  <c r="M120" i="7" s="1"/>
  <c r="N120" i="7" s="1"/>
  <c r="J120" i="7"/>
  <c r="L120" i="7" s="1" a="1"/>
  <c r="L120" i="7" s="1"/>
  <c r="Q119" i="7"/>
  <c r="P119" i="7"/>
  <c r="O119" i="7"/>
  <c r="M119" i="7" a="1"/>
  <c r="M119" i="7" s="1"/>
  <c r="N119" i="7" s="1"/>
  <c r="L119" i="7" a="1"/>
  <c r="L119" i="7" s="1"/>
  <c r="K119" i="7"/>
  <c r="J119" i="7"/>
  <c r="Q118" i="7"/>
  <c r="P118" i="7"/>
  <c r="O118" i="7"/>
  <c r="M118" i="7" a="1"/>
  <c r="M118" i="7" s="1"/>
  <c r="N118" i="7" s="1"/>
  <c r="L118" i="7"/>
  <c r="L118" i="7" a="1"/>
  <c r="J118" i="7"/>
  <c r="K118" i="7" s="1"/>
  <c r="Q117" i="7"/>
  <c r="P117" i="7"/>
  <c r="O117" i="7"/>
  <c r="M117" i="7" a="1"/>
  <c r="M117" i="7" s="1"/>
  <c r="N117" i="7" s="1"/>
  <c r="J117" i="7"/>
  <c r="L117" i="7" s="1" a="1"/>
  <c r="L117" i="7" s="1"/>
  <c r="Q116" i="7"/>
  <c r="P116" i="7"/>
  <c r="O116" i="7"/>
  <c r="M116" i="7" a="1"/>
  <c r="M116" i="7" s="1"/>
  <c r="N116" i="7" s="1"/>
  <c r="J116" i="7"/>
  <c r="L116" i="7" s="1" a="1"/>
  <c r="L116" i="7" s="1"/>
  <c r="Q115" i="7"/>
  <c r="P115" i="7"/>
  <c r="O115" i="7"/>
  <c r="M115" i="7" a="1"/>
  <c r="M115" i="7" s="1"/>
  <c r="N115" i="7" s="1"/>
  <c r="J115" i="7"/>
  <c r="Q114" i="7"/>
  <c r="P114" i="7"/>
  <c r="O114" i="7"/>
  <c r="M114" i="7" a="1"/>
  <c r="M114" i="7" s="1"/>
  <c r="N114" i="7" s="1"/>
  <c r="L114" i="7" a="1"/>
  <c r="L114" i="7" s="1"/>
  <c r="J114" i="7"/>
  <c r="K114" i="7" s="1"/>
  <c r="Q113" i="7"/>
  <c r="P113" i="7"/>
  <c r="O113" i="7"/>
  <c r="M113" i="7"/>
  <c r="N113" i="7" s="1"/>
  <c r="M113" i="7" a="1"/>
  <c r="J113" i="7"/>
  <c r="L113" i="7" s="1" a="1"/>
  <c r="L113" i="7" s="1"/>
  <c r="Q112" i="7"/>
  <c r="P112" i="7"/>
  <c r="O112" i="7"/>
  <c r="M112" i="7" a="1"/>
  <c r="M112" i="7" s="1"/>
  <c r="N112" i="7" s="1"/>
  <c r="J112" i="7"/>
  <c r="L112" i="7" s="1" a="1"/>
  <c r="L112" i="7" s="1"/>
  <c r="Q111" i="7"/>
  <c r="P111" i="7"/>
  <c r="O111" i="7"/>
  <c r="M111" i="7"/>
  <c r="N111" i="7" s="1"/>
  <c r="M111" i="7" a="1"/>
  <c r="J111" i="7"/>
  <c r="L111" i="7" s="1" a="1"/>
  <c r="L111" i="7" s="1"/>
  <c r="Q110" i="7"/>
  <c r="P110" i="7"/>
  <c r="O110" i="7"/>
  <c r="M110" i="7"/>
  <c r="N110" i="7" s="1"/>
  <c r="M110" i="7" a="1"/>
  <c r="L110" i="7" a="1"/>
  <c r="L110" i="7" s="1"/>
  <c r="J110" i="7"/>
  <c r="K110" i="7" s="1"/>
  <c r="Q109" i="7"/>
  <c r="P109" i="7"/>
  <c r="O109" i="7"/>
  <c r="M109" i="7"/>
  <c r="N109" i="7" s="1"/>
  <c r="M109" i="7" a="1"/>
  <c r="J109" i="7"/>
  <c r="Q108" i="7"/>
  <c r="P108" i="7"/>
  <c r="O108" i="7"/>
  <c r="M108" i="7" a="1"/>
  <c r="M108" i="7" s="1"/>
  <c r="N108" i="7" s="1"/>
  <c r="L108" i="7" a="1"/>
  <c r="L108" i="7" s="1"/>
  <c r="K108" i="7"/>
  <c r="J108" i="7"/>
  <c r="Q107" i="7"/>
  <c r="P107" i="7"/>
  <c r="O107" i="7"/>
  <c r="M107" i="7"/>
  <c r="N107" i="7" s="1"/>
  <c r="M107" i="7" a="1"/>
  <c r="L107" i="7" a="1"/>
  <c r="L107" i="7" s="1"/>
  <c r="J107" i="7"/>
  <c r="K107" i="7" s="1"/>
  <c r="Q106" i="7"/>
  <c r="P106" i="7"/>
  <c r="O106" i="7"/>
  <c r="M106" i="7" a="1"/>
  <c r="M106" i="7" s="1"/>
  <c r="N106" i="7" s="1"/>
  <c r="J106" i="7"/>
  <c r="Q105" i="7"/>
  <c r="P105" i="7"/>
  <c r="O105" i="7"/>
  <c r="M105" i="7" a="1"/>
  <c r="M105" i="7" s="1"/>
  <c r="N105" i="7" s="1"/>
  <c r="L105" i="7" a="1"/>
  <c r="L105" i="7" s="1"/>
  <c r="K105" i="7"/>
  <c r="J105" i="7"/>
  <c r="Q104" i="7"/>
  <c r="P104" i="7"/>
  <c r="O104" i="7"/>
  <c r="M104" i="7" a="1"/>
  <c r="M104" i="7" s="1"/>
  <c r="N104" i="7" s="1"/>
  <c r="J104" i="7"/>
  <c r="L104" i="7" s="1" a="1"/>
  <c r="L104" i="7" s="1"/>
  <c r="Q103" i="7"/>
  <c r="P103" i="7"/>
  <c r="O103" i="7"/>
  <c r="M103" i="7" a="1"/>
  <c r="M103" i="7" s="1"/>
  <c r="N103" i="7" s="1"/>
  <c r="J103" i="7"/>
  <c r="L103" i="7" s="1" a="1"/>
  <c r="L103" i="7" s="1"/>
  <c r="Q102" i="7"/>
  <c r="P102" i="7"/>
  <c r="O102" i="7"/>
  <c r="M102" i="7" a="1"/>
  <c r="M102" i="7" s="1"/>
  <c r="N102" i="7" s="1"/>
  <c r="J102" i="7"/>
  <c r="L102" i="7" s="1" a="1"/>
  <c r="L102" i="7" s="1"/>
  <c r="Q101" i="7"/>
  <c r="P101" i="7"/>
  <c r="O101" i="7"/>
  <c r="M101" i="7" a="1"/>
  <c r="M101" i="7" s="1"/>
  <c r="N101" i="7" s="1"/>
  <c r="J101" i="7"/>
  <c r="L101" i="7" s="1" a="1"/>
  <c r="L101" i="7" s="1"/>
  <c r="Q100" i="7"/>
  <c r="P100" i="7"/>
  <c r="O100" i="7"/>
  <c r="M100" i="7"/>
  <c r="N100" i="7" s="1"/>
  <c r="M100" i="7" a="1"/>
  <c r="J100" i="7"/>
  <c r="K100" i="7" s="1"/>
  <c r="Q99" i="7"/>
  <c r="P99" i="7"/>
  <c r="O99" i="7"/>
  <c r="M99" i="7" a="1"/>
  <c r="M99" i="7" s="1"/>
  <c r="N99" i="7" s="1"/>
  <c r="J99" i="7"/>
  <c r="L99" i="7" s="1" a="1"/>
  <c r="L99" i="7" s="1"/>
  <c r="Q98" i="7"/>
  <c r="P98" i="7"/>
  <c r="O98" i="7"/>
  <c r="M98" i="7"/>
  <c r="N98" i="7" s="1"/>
  <c r="M98" i="7" a="1"/>
  <c r="L98" i="7"/>
  <c r="J98" i="7"/>
  <c r="L98" i="7" s="1" a="1"/>
  <c r="Q97" i="7"/>
  <c r="P97" i="7"/>
  <c r="O97" i="7"/>
  <c r="M97" i="7" a="1"/>
  <c r="M97" i="7" s="1"/>
  <c r="N97" i="7" s="1"/>
  <c r="L97" i="7" a="1"/>
  <c r="L97" i="7" s="1"/>
  <c r="K97" i="7"/>
  <c r="J97" i="7"/>
  <c r="Q96" i="7"/>
  <c r="P96" i="7"/>
  <c r="O96" i="7"/>
  <c r="M96" i="7" a="1"/>
  <c r="M96" i="7" s="1"/>
  <c r="N96" i="7" s="1"/>
  <c r="J96" i="7"/>
  <c r="L96" i="7" s="1" a="1"/>
  <c r="L96" i="7" s="1"/>
  <c r="Q95" i="7"/>
  <c r="P95" i="7"/>
  <c r="O95" i="7"/>
  <c r="M95" i="7" a="1"/>
  <c r="M95" i="7" s="1"/>
  <c r="N95" i="7" s="1"/>
  <c r="J95" i="7"/>
  <c r="L95" i="7" s="1" a="1"/>
  <c r="L95" i="7" s="1"/>
  <c r="Q94" i="7"/>
  <c r="P94" i="7"/>
  <c r="O94" i="7"/>
  <c r="M94" i="7" a="1"/>
  <c r="M94" i="7" s="1"/>
  <c r="N94" i="7" s="1"/>
  <c r="L94" i="7" a="1"/>
  <c r="L94" i="7" s="1"/>
  <c r="K94" i="7"/>
  <c r="J94" i="7"/>
  <c r="Q93" i="7"/>
  <c r="P93" i="7"/>
  <c r="O93" i="7"/>
  <c r="M93" i="7" a="1"/>
  <c r="M93" i="7" s="1"/>
  <c r="N93" i="7" s="1"/>
  <c r="J93" i="7"/>
  <c r="K93" i="7" s="1"/>
  <c r="Q92" i="7"/>
  <c r="P92" i="7"/>
  <c r="O92" i="7"/>
  <c r="M92" i="7"/>
  <c r="N92" i="7" s="1"/>
  <c r="M92" i="7" a="1"/>
  <c r="J92" i="7"/>
  <c r="L92" i="7" s="1" a="1"/>
  <c r="L92" i="7" s="1"/>
  <c r="Q91" i="7"/>
  <c r="P91" i="7"/>
  <c r="O91" i="7"/>
  <c r="M91" i="7"/>
  <c r="N91" i="7" s="1"/>
  <c r="M91" i="7" a="1"/>
  <c r="J91" i="7"/>
  <c r="L91" i="7" s="1" a="1"/>
  <c r="L91" i="7" s="1"/>
  <c r="Q90" i="7"/>
  <c r="P90" i="7"/>
  <c r="O90" i="7"/>
  <c r="M90" i="7" a="1"/>
  <c r="M90" i="7" s="1"/>
  <c r="N90" i="7" s="1"/>
  <c r="J90" i="7"/>
  <c r="L90" i="7" s="1" a="1"/>
  <c r="L90" i="7" s="1"/>
  <c r="Q89" i="7"/>
  <c r="P89" i="7"/>
  <c r="O89" i="7"/>
  <c r="M89" i="7" a="1"/>
  <c r="M89" i="7" s="1"/>
  <c r="N89" i="7" s="1"/>
  <c r="L89" i="7" a="1"/>
  <c r="L89" i="7" s="1"/>
  <c r="K89" i="7"/>
  <c r="J89" i="7"/>
  <c r="Q88" i="7"/>
  <c r="P88" i="7"/>
  <c r="O88" i="7"/>
  <c r="M88" i="7" a="1"/>
  <c r="M88" i="7" s="1"/>
  <c r="N88" i="7" s="1"/>
  <c r="J88" i="7"/>
  <c r="Q87" i="7"/>
  <c r="P87" i="7"/>
  <c r="O87" i="7"/>
  <c r="M87" i="7" a="1"/>
  <c r="M87" i="7" s="1"/>
  <c r="N87" i="7" s="1"/>
  <c r="J87" i="7"/>
  <c r="L87" i="7" s="1" a="1"/>
  <c r="L87" i="7" s="1"/>
  <c r="Q86" i="7"/>
  <c r="P86" i="7"/>
  <c r="O86" i="7"/>
  <c r="M86" i="7" a="1"/>
  <c r="M86" i="7" s="1"/>
  <c r="N86" i="7" s="1"/>
  <c r="L86" i="7" a="1"/>
  <c r="L86" i="7" s="1"/>
  <c r="J86" i="7"/>
  <c r="K86" i="7" s="1"/>
  <c r="Q85" i="7"/>
  <c r="P85" i="7"/>
  <c r="O85" i="7"/>
  <c r="M85" i="7" a="1"/>
  <c r="M85" i="7" s="1"/>
  <c r="N85" i="7" s="1"/>
  <c r="J85" i="7"/>
  <c r="L85" i="7" s="1" a="1"/>
  <c r="L85" i="7" s="1"/>
  <c r="Q84" i="7"/>
  <c r="P84" i="7"/>
  <c r="O84" i="7"/>
  <c r="M84" i="7" a="1"/>
  <c r="M84" i="7" s="1"/>
  <c r="N84" i="7" s="1"/>
  <c r="L84" i="7" a="1"/>
  <c r="L84" i="7" s="1"/>
  <c r="K84" i="7"/>
  <c r="J84" i="7"/>
  <c r="Q83" i="7"/>
  <c r="P83" i="7"/>
  <c r="O83" i="7"/>
  <c r="M83" i="7" a="1"/>
  <c r="M83" i="7" s="1"/>
  <c r="N83" i="7" s="1"/>
  <c r="J83" i="7"/>
  <c r="L83" i="7" s="1" a="1"/>
  <c r="L83" i="7" s="1"/>
  <c r="Q82" i="7"/>
  <c r="P82" i="7"/>
  <c r="O82" i="7"/>
  <c r="N82" i="7"/>
  <c r="M82" i="7"/>
  <c r="M82" i="7" a="1"/>
  <c r="J82" i="7"/>
  <c r="K82" i="7" s="1"/>
  <c r="Q81" i="7"/>
  <c r="P81" i="7"/>
  <c r="O81" i="7"/>
  <c r="M81" i="7" a="1"/>
  <c r="M81" i="7" s="1"/>
  <c r="N81" i="7" s="1"/>
  <c r="J81" i="7"/>
  <c r="L81" i="7" s="1" a="1"/>
  <c r="L81" i="7" s="1"/>
  <c r="Q80" i="7"/>
  <c r="P80" i="7"/>
  <c r="O80" i="7"/>
  <c r="M80" i="7"/>
  <c r="N80" i="7" s="1"/>
  <c r="M80" i="7" a="1"/>
  <c r="J80" i="7"/>
  <c r="L80" i="7" s="1" a="1"/>
  <c r="L80" i="7" s="1"/>
  <c r="Q79" i="7"/>
  <c r="P79" i="7"/>
  <c r="O79" i="7"/>
  <c r="M79" i="7" a="1"/>
  <c r="M79" i="7" s="1"/>
  <c r="N79" i="7" s="1"/>
  <c r="J79" i="7"/>
  <c r="L79" i="7" s="1" a="1"/>
  <c r="L79" i="7" s="1"/>
  <c r="Q78" i="7"/>
  <c r="P78" i="7"/>
  <c r="O78" i="7"/>
  <c r="M78" i="7" a="1"/>
  <c r="M78" i="7" s="1"/>
  <c r="N78" i="7" s="1"/>
  <c r="J78" i="7"/>
  <c r="L78" i="7" s="1" a="1"/>
  <c r="L78" i="7" s="1"/>
  <c r="Q77" i="7"/>
  <c r="P77" i="7"/>
  <c r="O77" i="7"/>
  <c r="M77" i="7" a="1"/>
  <c r="M77" i="7" s="1"/>
  <c r="N77" i="7" s="1"/>
  <c r="L77" i="7" a="1"/>
  <c r="L77" i="7" s="1"/>
  <c r="J77" i="7"/>
  <c r="K77" i="7" s="1"/>
  <c r="Q76" i="7"/>
  <c r="P76" i="7"/>
  <c r="O76" i="7"/>
  <c r="M76" i="7" a="1"/>
  <c r="M76" i="7" s="1"/>
  <c r="N76" i="7" s="1"/>
  <c r="L76" i="7" a="1"/>
  <c r="L76" i="7" s="1"/>
  <c r="K76" i="7"/>
  <c r="J76" i="7"/>
  <c r="Q75" i="7"/>
  <c r="P75" i="7"/>
  <c r="O75" i="7"/>
  <c r="M75" i="7" a="1"/>
  <c r="M75" i="7" s="1"/>
  <c r="N75" i="7" s="1"/>
  <c r="J75" i="7"/>
  <c r="L75" i="7" s="1" a="1"/>
  <c r="L75" i="7" s="1"/>
  <c r="Q74" i="7"/>
  <c r="P74" i="7"/>
  <c r="O74" i="7"/>
  <c r="M74" i="7" a="1"/>
  <c r="M74" i="7" s="1"/>
  <c r="N74" i="7" s="1"/>
  <c r="L74" i="7" a="1"/>
  <c r="L74" i="7" s="1"/>
  <c r="K74" i="7"/>
  <c r="J74" i="7"/>
  <c r="Q73" i="7"/>
  <c r="P73" i="7"/>
  <c r="O73" i="7"/>
  <c r="M73" i="7"/>
  <c r="N73" i="7" s="1"/>
  <c r="M73" i="7" a="1"/>
  <c r="J73" i="7"/>
  <c r="Q72" i="7"/>
  <c r="P72" i="7"/>
  <c r="O72" i="7"/>
  <c r="M72" i="7"/>
  <c r="N72" i="7" s="1"/>
  <c r="M72" i="7" a="1"/>
  <c r="J72" i="7"/>
  <c r="Q71" i="7"/>
  <c r="P71" i="7"/>
  <c r="O71" i="7"/>
  <c r="M71" i="7" a="1"/>
  <c r="M71" i="7" s="1"/>
  <c r="N71" i="7" s="1"/>
  <c r="J71" i="7"/>
  <c r="L71" i="7" s="1" a="1"/>
  <c r="L71" i="7" s="1"/>
  <c r="Q70" i="7"/>
  <c r="P70" i="7"/>
  <c r="O70" i="7"/>
  <c r="M70" i="7" a="1"/>
  <c r="M70" i="7" s="1"/>
  <c r="N70" i="7" s="1"/>
  <c r="J70" i="7"/>
  <c r="K70" i="7" s="1"/>
  <c r="Q69" i="7"/>
  <c r="P69" i="7"/>
  <c r="O69" i="7"/>
  <c r="M69" i="7" a="1"/>
  <c r="M69" i="7" s="1"/>
  <c r="N69" i="7" s="1"/>
  <c r="J69" i="7"/>
  <c r="Q68" i="7"/>
  <c r="P68" i="7"/>
  <c r="O68" i="7"/>
  <c r="M68" i="7" a="1"/>
  <c r="M68" i="7" s="1"/>
  <c r="N68" i="7" s="1"/>
  <c r="J68" i="7"/>
  <c r="L68" i="7" s="1" a="1"/>
  <c r="L68" i="7" s="1"/>
  <c r="Q67" i="7"/>
  <c r="P67" i="7"/>
  <c r="O67" i="7"/>
  <c r="M67" i="7" a="1"/>
  <c r="M67" i="7" s="1"/>
  <c r="N67" i="7" s="1"/>
  <c r="L67" i="7"/>
  <c r="L67" i="7" a="1"/>
  <c r="J67" i="7"/>
  <c r="K67" i="7" s="1"/>
  <c r="Q66" i="7"/>
  <c r="P66" i="7"/>
  <c r="O66" i="7"/>
  <c r="M66" i="7" a="1"/>
  <c r="M66" i="7" s="1"/>
  <c r="N66" i="7" s="1"/>
  <c r="L66" i="7" a="1"/>
  <c r="L66" i="7" s="1"/>
  <c r="K66" i="7"/>
  <c r="J66" i="7"/>
  <c r="Q65" i="7"/>
  <c r="P65" i="7"/>
  <c r="O65" i="7"/>
  <c r="M65" i="7" a="1"/>
  <c r="M65" i="7" s="1"/>
  <c r="N65" i="7" s="1"/>
  <c r="L65" i="7" a="1"/>
  <c r="L65" i="7" s="1"/>
  <c r="K65" i="7"/>
  <c r="J65" i="7"/>
  <c r="Q64" i="7"/>
  <c r="P64" i="7"/>
  <c r="O64" i="7"/>
  <c r="M64" i="7" a="1"/>
  <c r="M64" i="7" s="1"/>
  <c r="N64" i="7" s="1"/>
  <c r="J64" i="7"/>
  <c r="L64" i="7" s="1" a="1"/>
  <c r="L64" i="7" s="1"/>
  <c r="Q63" i="7"/>
  <c r="P63" i="7"/>
  <c r="O63" i="7"/>
  <c r="M63" i="7"/>
  <c r="N63" i="7" s="1"/>
  <c r="M63" i="7" a="1"/>
  <c r="L63" i="7" a="1"/>
  <c r="L63" i="7" s="1"/>
  <c r="J63" i="7"/>
  <c r="K63" i="7" s="1"/>
  <c r="Q62" i="7"/>
  <c r="P62" i="7"/>
  <c r="O62" i="7"/>
  <c r="M62" i="7" a="1"/>
  <c r="M62" i="7" s="1"/>
  <c r="N62" i="7" s="1"/>
  <c r="J62" i="7"/>
  <c r="Q61" i="7"/>
  <c r="P61" i="7"/>
  <c r="O61" i="7"/>
  <c r="M61" i="7" a="1"/>
  <c r="M61" i="7" s="1"/>
  <c r="N61" i="7" s="1"/>
  <c r="J61" i="7"/>
  <c r="L61" i="7" s="1" a="1"/>
  <c r="L61" i="7" s="1"/>
  <c r="Q60" i="7"/>
  <c r="P60" i="7"/>
  <c r="O60" i="7"/>
  <c r="M60" i="7" a="1"/>
  <c r="M60" i="7" s="1"/>
  <c r="N60" i="7" s="1"/>
  <c r="J60" i="7"/>
  <c r="L60" i="7" s="1" a="1"/>
  <c r="L60" i="7" s="1"/>
  <c r="Q59" i="7"/>
  <c r="P59" i="7"/>
  <c r="O59" i="7"/>
  <c r="M59" i="7" a="1"/>
  <c r="M59" i="7" s="1"/>
  <c r="N59" i="7" s="1"/>
  <c r="L59" i="7" a="1"/>
  <c r="L59" i="7" s="1"/>
  <c r="K59" i="7"/>
  <c r="J59" i="7"/>
  <c r="Q58" i="7"/>
  <c r="P58" i="7"/>
  <c r="O58" i="7"/>
  <c r="M58" i="7"/>
  <c r="N58" i="7" s="1"/>
  <c r="M58" i="7" a="1"/>
  <c r="J58" i="7"/>
  <c r="L58" i="7" s="1" a="1"/>
  <c r="L58" i="7" s="1"/>
  <c r="Q57" i="7"/>
  <c r="P57" i="7"/>
  <c r="O57" i="7"/>
  <c r="M57" i="7"/>
  <c r="N57" i="7" s="1"/>
  <c r="M57" i="7" a="1"/>
  <c r="J57" i="7"/>
  <c r="Q56" i="7"/>
  <c r="P56" i="7"/>
  <c r="O56" i="7"/>
  <c r="M56" i="7" a="1"/>
  <c r="M56" i="7" s="1"/>
  <c r="N56" i="7" s="1"/>
  <c r="L56" i="7" a="1"/>
  <c r="L56" i="7" s="1"/>
  <c r="K56" i="7"/>
  <c r="J56" i="7"/>
  <c r="Q55" i="7"/>
  <c r="P55" i="7"/>
  <c r="O55" i="7"/>
  <c r="M55" i="7" a="1"/>
  <c r="M55" i="7" s="1"/>
  <c r="N55" i="7" s="1"/>
  <c r="L55" i="7" a="1"/>
  <c r="L55" i="7" s="1"/>
  <c r="K55" i="7"/>
  <c r="J55" i="7"/>
  <c r="Q54" i="7"/>
  <c r="P54" i="7"/>
  <c r="O54" i="7"/>
  <c r="N54" i="7"/>
  <c r="M54" i="7" a="1"/>
  <c r="M54" i="7" s="1"/>
  <c r="L54" i="7" a="1"/>
  <c r="L54" i="7" s="1"/>
  <c r="K54" i="7"/>
  <c r="J54" i="7"/>
  <c r="Q53" i="7"/>
  <c r="P53" i="7"/>
  <c r="O53" i="7"/>
  <c r="M53" i="7" a="1"/>
  <c r="M53" i="7" s="1"/>
  <c r="N53" i="7" s="1"/>
  <c r="K53" i="7"/>
  <c r="J53" i="7"/>
  <c r="L53" i="7" s="1" a="1"/>
  <c r="L53" i="7" s="1"/>
  <c r="Q52" i="7"/>
  <c r="P52" i="7"/>
  <c r="O52" i="7"/>
  <c r="N52" i="7"/>
  <c r="M52" i="7"/>
  <c r="M52" i="7" a="1"/>
  <c r="J52" i="7"/>
  <c r="Q51" i="7"/>
  <c r="P51" i="7"/>
  <c r="O51" i="7"/>
  <c r="M51" i="7" a="1"/>
  <c r="M51" i="7" s="1"/>
  <c r="N51" i="7" s="1"/>
  <c r="J51" i="7"/>
  <c r="L51" i="7" s="1" a="1"/>
  <c r="L51" i="7" s="1"/>
  <c r="Q50" i="7"/>
  <c r="P50" i="7"/>
  <c r="O50" i="7"/>
  <c r="M50" i="7" a="1"/>
  <c r="M50" i="7" s="1"/>
  <c r="N50" i="7" s="1"/>
  <c r="K50" i="7"/>
  <c r="J50" i="7"/>
  <c r="L50" i="7" s="1" a="1"/>
  <c r="L50" i="7" s="1"/>
  <c r="Q49" i="7"/>
  <c r="P49" i="7"/>
  <c r="O49" i="7"/>
  <c r="M49" i="7" a="1"/>
  <c r="M49" i="7" s="1"/>
  <c r="N49" i="7" s="1"/>
  <c r="J49" i="7"/>
  <c r="L49" i="7" s="1" a="1"/>
  <c r="L49" i="7" s="1"/>
  <c r="Q48" i="7"/>
  <c r="P48" i="7"/>
  <c r="O48" i="7"/>
  <c r="N48" i="7"/>
  <c r="M48" i="7"/>
  <c r="M48" i="7" a="1"/>
  <c r="J48" i="7"/>
  <c r="Q47" i="7"/>
  <c r="P47" i="7"/>
  <c r="O47" i="7"/>
  <c r="M47" i="7" a="1"/>
  <c r="M47" i="7" s="1"/>
  <c r="N47" i="7" s="1"/>
  <c r="L47" i="7" a="1"/>
  <c r="L47" i="7" s="1"/>
  <c r="K47" i="7"/>
  <c r="J47" i="7"/>
  <c r="Q46" i="7"/>
  <c r="P46" i="7"/>
  <c r="O46" i="7"/>
  <c r="M46" i="7" a="1"/>
  <c r="M46" i="7" s="1"/>
  <c r="N46" i="7" s="1"/>
  <c r="L46" i="7" a="1"/>
  <c r="L46" i="7" s="1"/>
  <c r="J46" i="7"/>
  <c r="K46" i="7" s="1"/>
  <c r="Q45" i="7"/>
  <c r="P45" i="7"/>
  <c r="O45" i="7"/>
  <c r="M45" i="7" a="1"/>
  <c r="M45" i="7" s="1"/>
  <c r="N45" i="7" s="1"/>
  <c r="J45" i="7"/>
  <c r="L45" i="7" s="1" a="1"/>
  <c r="L45" i="7" s="1"/>
  <c r="Q44" i="7"/>
  <c r="P44" i="7"/>
  <c r="O44" i="7"/>
  <c r="M44" i="7" a="1"/>
  <c r="M44" i="7" s="1"/>
  <c r="N44" i="7" s="1"/>
  <c r="L44" i="7" a="1"/>
  <c r="L44" i="7" s="1"/>
  <c r="K44" i="7"/>
  <c r="J44" i="7"/>
  <c r="Q43" i="7"/>
  <c r="P43" i="7"/>
  <c r="O43" i="7"/>
  <c r="M43" i="7" a="1"/>
  <c r="M43" i="7" s="1"/>
  <c r="N43" i="7" s="1"/>
  <c r="J43" i="7"/>
  <c r="Q42" i="7"/>
  <c r="P42" i="7"/>
  <c r="O42" i="7"/>
  <c r="M42" i="7" a="1"/>
  <c r="M42" i="7" s="1"/>
  <c r="N42" i="7" s="1"/>
  <c r="J42" i="7"/>
  <c r="Q41" i="7"/>
  <c r="P41" i="7"/>
  <c r="O41" i="7"/>
  <c r="M41" i="7" a="1"/>
  <c r="M41" i="7" s="1"/>
  <c r="N41" i="7" s="1"/>
  <c r="L41" i="7" a="1"/>
  <c r="L41" i="7" s="1"/>
  <c r="K41" i="7"/>
  <c r="J41" i="7"/>
  <c r="Q40" i="7"/>
  <c r="P40" i="7"/>
  <c r="O40" i="7"/>
  <c r="M40" i="7" a="1"/>
  <c r="M40" i="7" s="1"/>
  <c r="N40" i="7" s="1"/>
  <c r="J40" i="7"/>
  <c r="K40" i="7" s="1"/>
  <c r="Q39" i="7"/>
  <c r="P39" i="7"/>
  <c r="O39" i="7"/>
  <c r="M39" i="7"/>
  <c r="N39" i="7" s="1"/>
  <c r="M39" i="7" a="1"/>
  <c r="L39" i="7" a="1"/>
  <c r="L39" i="7" s="1"/>
  <c r="K39" i="7"/>
  <c r="J39" i="7"/>
  <c r="Q38" i="7"/>
  <c r="P38" i="7"/>
  <c r="O38" i="7"/>
  <c r="N38" i="7"/>
  <c r="M38" i="7"/>
  <c r="M38" i="7" a="1"/>
  <c r="J38" i="7"/>
  <c r="L38" i="7" s="1" a="1"/>
  <c r="L38" i="7" s="1"/>
  <c r="Q37" i="7"/>
  <c r="P37" i="7"/>
  <c r="O37" i="7"/>
  <c r="M37" i="7" a="1"/>
  <c r="M37" i="7" s="1"/>
  <c r="N37" i="7" s="1"/>
  <c r="J37" i="7"/>
  <c r="L37" i="7" s="1" a="1"/>
  <c r="L37" i="7" s="1"/>
  <c r="Q36" i="7"/>
  <c r="P36" i="7"/>
  <c r="O36" i="7"/>
  <c r="M36" i="7" a="1"/>
  <c r="M36" i="7" s="1"/>
  <c r="N36" i="7" s="1"/>
  <c r="J36" i="7"/>
  <c r="K36" i="7" s="1"/>
  <c r="Q35" i="7"/>
  <c r="P35" i="7"/>
  <c r="O35" i="7"/>
  <c r="M35" i="7" a="1"/>
  <c r="M35" i="7" s="1"/>
  <c r="N35" i="7" s="1"/>
  <c r="L35" i="7"/>
  <c r="L35" i="7" a="1"/>
  <c r="J35" i="7"/>
  <c r="K35" i="7" s="1"/>
  <c r="Q34" i="7"/>
  <c r="P34" i="7"/>
  <c r="O34" i="7"/>
  <c r="M34" i="7" a="1"/>
  <c r="M34" i="7" s="1"/>
  <c r="N34" i="7" s="1"/>
  <c r="L34" i="7" a="1"/>
  <c r="L34" i="7" s="1"/>
  <c r="K34" i="7"/>
  <c r="J34" i="7"/>
  <c r="Q33" i="7"/>
  <c r="P33" i="7"/>
  <c r="O33" i="7"/>
  <c r="M33" i="7"/>
  <c r="N33" i="7" s="1"/>
  <c r="M33" i="7" a="1"/>
  <c r="J33" i="7"/>
  <c r="L33" i="7" s="1" a="1"/>
  <c r="L33" i="7" s="1"/>
  <c r="Q32" i="7"/>
  <c r="P32" i="7"/>
  <c r="O32" i="7"/>
  <c r="M32" i="7" a="1"/>
  <c r="M32" i="7" s="1"/>
  <c r="N32" i="7" s="1"/>
  <c r="L32" i="7" a="1"/>
  <c r="L32" i="7" s="1"/>
  <c r="J32" i="7"/>
  <c r="K32" i="7" s="1"/>
  <c r="Q31" i="7"/>
  <c r="P31" i="7"/>
  <c r="O31" i="7"/>
  <c r="M31" i="7"/>
  <c r="N31" i="7" s="1"/>
  <c r="M31" i="7" a="1"/>
  <c r="J31" i="7"/>
  <c r="L31" i="7" s="1" a="1"/>
  <c r="L31" i="7" s="1"/>
  <c r="Q30" i="7"/>
  <c r="P30" i="7"/>
  <c r="O30" i="7"/>
  <c r="M30" i="7" a="1"/>
  <c r="M30" i="7" s="1"/>
  <c r="N30" i="7" s="1"/>
  <c r="J30" i="7"/>
  <c r="L30" i="7" s="1" a="1"/>
  <c r="L30" i="7" s="1"/>
  <c r="Q29" i="7"/>
  <c r="P29" i="7"/>
  <c r="O29" i="7"/>
  <c r="M29" i="7"/>
  <c r="N29" i="7" s="1"/>
  <c r="M29" i="7" a="1"/>
  <c r="J29" i="7"/>
  <c r="Q28" i="7"/>
  <c r="P28" i="7"/>
  <c r="O28" i="7"/>
  <c r="M28" i="7" a="1"/>
  <c r="M28" i="7" s="1"/>
  <c r="N28" i="7" s="1"/>
  <c r="J28" i="7"/>
  <c r="L28" i="7" s="1" a="1"/>
  <c r="L28" i="7" s="1"/>
  <c r="Q27" i="7"/>
  <c r="P27" i="7"/>
  <c r="O27" i="7"/>
  <c r="M27" i="7"/>
  <c r="N27" i="7" s="1"/>
  <c r="M27" i="7" a="1"/>
  <c r="J27" i="7"/>
  <c r="L27" i="7" s="1" a="1"/>
  <c r="L27" i="7" s="1"/>
  <c r="Q26" i="7"/>
  <c r="P26" i="7"/>
  <c r="O26" i="7"/>
  <c r="M26" i="7" a="1"/>
  <c r="M26" i="7" s="1"/>
  <c r="N26" i="7" s="1"/>
  <c r="J26" i="7"/>
  <c r="K26" i="7" s="1"/>
  <c r="Q25" i="7"/>
  <c r="P25" i="7"/>
  <c r="O25" i="7"/>
  <c r="N25" i="7"/>
  <c r="M25" i="7"/>
  <c r="M25" i="7" a="1"/>
  <c r="J25" i="7"/>
  <c r="K25" i="7" s="1"/>
  <c r="Q24" i="7"/>
  <c r="P24" i="7"/>
  <c r="O24" i="7"/>
  <c r="M24" i="7"/>
  <c r="N24" i="7" s="1"/>
  <c r="M24" i="7" a="1"/>
  <c r="J24" i="7"/>
  <c r="Q23" i="7"/>
  <c r="P23" i="7"/>
  <c r="O23" i="7"/>
  <c r="N23" i="7"/>
  <c r="M23" i="7"/>
  <c r="M23" i="7" a="1"/>
  <c r="J23" i="7"/>
  <c r="K23" i="7" s="1"/>
  <c r="Q22" i="7"/>
  <c r="P22" i="7"/>
  <c r="O22" i="7"/>
  <c r="M22" i="7"/>
  <c r="N22" i="7" s="1"/>
  <c r="M22" i="7" a="1"/>
  <c r="L22" i="7" a="1"/>
  <c r="L22" i="7" s="1"/>
  <c r="J22" i="7"/>
  <c r="K22" i="7" s="1"/>
  <c r="Q21" i="7"/>
  <c r="P21" i="7"/>
  <c r="O21" i="7"/>
  <c r="M21" i="7"/>
  <c r="N21" i="7" s="1"/>
  <c r="M21" i="7" a="1"/>
  <c r="J21" i="7"/>
  <c r="L21" i="7" s="1" a="1"/>
  <c r="L21" i="7" s="1"/>
  <c r="Q20" i="7"/>
  <c r="P20" i="7"/>
  <c r="O20" i="7"/>
  <c r="M20" i="7"/>
  <c r="N20" i="7" s="1"/>
  <c r="M20" i="7" a="1"/>
  <c r="L20" i="7" a="1"/>
  <c r="L20" i="7" s="1"/>
  <c r="J20" i="7"/>
  <c r="K20" i="7" s="1"/>
  <c r="Q19" i="7"/>
  <c r="P19" i="7"/>
  <c r="O19" i="7"/>
  <c r="M19" i="7"/>
  <c r="N19" i="7" s="1"/>
  <c r="M19" i="7" a="1"/>
  <c r="J19" i="7"/>
  <c r="L19" i="7" s="1" a="1"/>
  <c r="L19" i="7" s="1"/>
  <c r="Q18" i="7"/>
  <c r="P18" i="7"/>
  <c r="O18" i="7"/>
  <c r="M18" i="7" a="1"/>
  <c r="M18" i="7" s="1"/>
  <c r="N18" i="7" s="1"/>
  <c r="J18" i="7"/>
  <c r="L18" i="7" s="1" a="1"/>
  <c r="L18" i="7" s="1"/>
  <c r="Q17" i="7"/>
  <c r="P17" i="7"/>
  <c r="O17" i="7"/>
  <c r="M17" i="7"/>
  <c r="N17" i="7" s="1"/>
  <c r="M17" i="7" a="1"/>
  <c r="L17" i="7" a="1"/>
  <c r="L17" i="7" s="1"/>
  <c r="K17" i="7"/>
  <c r="J17" i="7"/>
  <c r="Q16" i="7"/>
  <c r="P16" i="7"/>
  <c r="O16" i="7"/>
  <c r="M16" i="7" a="1"/>
  <c r="M16" i="7" s="1"/>
  <c r="N16" i="7" s="1"/>
  <c r="L16" i="7"/>
  <c r="J16" i="7"/>
  <c r="L16" i="7" s="1" a="1"/>
  <c r="Q15" i="7"/>
  <c r="P15" i="7"/>
  <c r="O15" i="7"/>
  <c r="M15" i="7"/>
  <c r="N15" i="7" s="1"/>
  <c r="M15" i="7" a="1"/>
  <c r="L15" i="7" a="1"/>
  <c r="L15" i="7" s="1"/>
  <c r="K15" i="7"/>
  <c r="J15" i="7"/>
  <c r="Q14" i="7"/>
  <c r="P14" i="7"/>
  <c r="O14" i="7"/>
  <c r="M14" i="7" a="1"/>
  <c r="M14" i="7" s="1"/>
  <c r="N14" i="7" s="1"/>
  <c r="J14" i="7"/>
  <c r="L14" i="7" s="1" a="1"/>
  <c r="L14" i="7" s="1"/>
  <c r="Q13" i="7"/>
  <c r="P13" i="7"/>
  <c r="O13" i="7"/>
  <c r="M13" i="7"/>
  <c r="N13" i="7" s="1"/>
  <c r="M13" i="7" a="1"/>
  <c r="L13" i="7" a="1"/>
  <c r="L13" i="7" s="1"/>
  <c r="K13" i="7"/>
  <c r="J13" i="7"/>
  <c r="Q12" i="7"/>
  <c r="P12" i="7"/>
  <c r="O12" i="7"/>
  <c r="M12" i="7" a="1"/>
  <c r="M12" i="7" s="1"/>
  <c r="N12" i="7" s="1"/>
  <c r="J12" i="7"/>
  <c r="Q11" i="7"/>
  <c r="P11" i="7"/>
  <c r="O11" i="7"/>
  <c r="N11" i="7"/>
  <c r="M11" i="7"/>
  <c r="M11" i="7" a="1"/>
  <c r="L11" i="7" a="1"/>
  <c r="L11" i="7" s="1"/>
  <c r="K11" i="7"/>
  <c r="J11" i="7"/>
  <c r="Q10" i="7"/>
  <c r="P10" i="7"/>
  <c r="O10" i="7"/>
  <c r="M10" i="7" a="1"/>
  <c r="M10" i="7" s="1"/>
  <c r="N10" i="7" s="1"/>
  <c r="L10" i="7" a="1"/>
  <c r="L10" i="7" s="1"/>
  <c r="J10" i="7"/>
  <c r="K10" i="7" s="1"/>
  <c r="Q9" i="7"/>
  <c r="P9" i="7"/>
  <c r="O9" i="7"/>
  <c r="M9" i="7"/>
  <c r="N9" i="7" s="1"/>
  <c r="M9" i="7" a="1"/>
  <c r="J9" i="7"/>
  <c r="L9" i="7" s="1" a="1"/>
  <c r="L9" i="7" s="1"/>
  <c r="Q8" i="7"/>
  <c r="P8" i="7"/>
  <c r="O8" i="7"/>
  <c r="M8" i="7" a="1"/>
  <c r="M8" i="7" s="1"/>
  <c r="N8" i="7" s="1"/>
  <c r="L8" i="7" a="1"/>
  <c r="L8" i="7" s="1"/>
  <c r="J8" i="7"/>
  <c r="K8" i="7" s="1"/>
  <c r="Q7" i="7"/>
  <c r="P7" i="7"/>
  <c r="O7" i="7"/>
  <c r="M7" i="7"/>
  <c r="N7" i="7" s="1"/>
  <c r="M7" i="7" a="1"/>
  <c r="J7" i="7"/>
  <c r="L7" i="7" s="1" a="1"/>
  <c r="L7" i="7" s="1"/>
  <c r="Q6" i="7"/>
  <c r="P6" i="7"/>
  <c r="O6" i="7"/>
  <c r="M6" i="7" a="1"/>
  <c r="M6" i="7" s="1"/>
  <c r="N6" i="7" s="1"/>
  <c r="J6" i="7"/>
  <c r="L6" i="7" s="1" a="1"/>
  <c r="L6" i="7" s="1"/>
  <c r="Q5" i="7"/>
  <c r="P5" i="7"/>
  <c r="O5" i="7"/>
  <c r="N5" i="7"/>
  <c r="M5" i="7"/>
  <c r="M5" i="7" a="1"/>
  <c r="J5" i="7"/>
  <c r="L5" i="7" s="1" a="1"/>
  <c r="L5" i="7" s="1"/>
  <c r="Q4" i="7"/>
  <c r="P4" i="7"/>
  <c r="O4" i="7"/>
  <c r="M4" i="7" a="1"/>
  <c r="M4" i="7" s="1"/>
  <c r="N4" i="7" s="1"/>
  <c r="J4" i="7"/>
  <c r="Q3" i="7"/>
  <c r="P3" i="7"/>
  <c r="O3" i="7"/>
  <c r="N3" i="7"/>
  <c r="M3" i="7"/>
  <c r="L3" i="7" a="1"/>
  <c r="L3" i="7" s="1"/>
  <c r="K3" i="7"/>
  <c r="J3" i="7"/>
  <c r="Q2" i="7"/>
  <c r="P2" i="7"/>
  <c r="O2" i="7"/>
  <c r="M2" i="7"/>
  <c r="N2" i="7" s="1"/>
  <c r="J2" i="7"/>
  <c r="T45" i="5"/>
  <c r="A1" i="6" a="1"/>
  <c r="A1" i="6" s="1"/>
  <c r="T37" i="5"/>
  <c r="T36" i="5"/>
  <c r="T35" i="5"/>
  <c r="T32" i="5"/>
  <c r="T31" i="5"/>
  <c r="T30" i="5"/>
  <c r="T29" i="5"/>
  <c r="T28" i="5"/>
  <c r="T27" i="5"/>
  <c r="T26"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 i="5"/>
  <c r="M2" i="5"/>
  <c r="N2" i="5" s="1"/>
  <c r="T16" i="5"/>
  <c r="P201" i="5"/>
  <c r="O201" i="5"/>
  <c r="M201" i="5" a="1"/>
  <c r="M201" i="5"/>
  <c r="N201" i="5" s="1"/>
  <c r="J201" i="5"/>
  <c r="K201" i="5" s="1"/>
  <c r="P200" i="5"/>
  <c r="O200" i="5"/>
  <c r="M200" i="5" a="1"/>
  <c r="M200" i="5" s="1"/>
  <c r="N200" i="5" s="1"/>
  <c r="J200" i="5"/>
  <c r="L200" i="5" s="1" a="1"/>
  <c r="L200" i="5" s="1"/>
  <c r="P199" i="5"/>
  <c r="O199" i="5"/>
  <c r="M199" i="5" a="1"/>
  <c r="M199" i="5" s="1"/>
  <c r="N199" i="5" s="1"/>
  <c r="J199" i="5"/>
  <c r="P198" i="5"/>
  <c r="O198" i="5"/>
  <c r="M198" i="5" a="1"/>
  <c r="M198" i="5" s="1"/>
  <c r="N198" i="5" s="1"/>
  <c r="J198" i="5"/>
  <c r="L198" i="5" s="1" a="1"/>
  <c r="L198" i="5" s="1"/>
  <c r="P197" i="5"/>
  <c r="O197" i="5"/>
  <c r="M197" i="5" a="1"/>
  <c r="M197" i="5" s="1"/>
  <c r="N197" i="5" s="1"/>
  <c r="J197" i="5"/>
  <c r="K197" i="5" s="1"/>
  <c r="P196" i="5"/>
  <c r="O196" i="5"/>
  <c r="M196" i="5" a="1"/>
  <c r="M196" i="5" s="1"/>
  <c r="N196" i="5" s="1"/>
  <c r="J196" i="5"/>
  <c r="K196" i="5" s="1"/>
  <c r="P195" i="5"/>
  <c r="O195" i="5"/>
  <c r="M195" i="5" a="1"/>
  <c r="M195" i="5" s="1"/>
  <c r="N195" i="5" s="1"/>
  <c r="J195" i="5"/>
  <c r="P194" i="5"/>
  <c r="O194" i="5"/>
  <c r="M194" i="5" a="1"/>
  <c r="M194" i="5"/>
  <c r="N194" i="5" s="1"/>
  <c r="J194" i="5"/>
  <c r="K194" i="5" s="1"/>
  <c r="P193" i="5"/>
  <c r="O193" i="5"/>
  <c r="M193" i="5" a="1"/>
  <c r="M193" i="5" s="1"/>
  <c r="N193" i="5" s="1"/>
  <c r="J193" i="5"/>
  <c r="K193" i="5" s="1"/>
  <c r="P192" i="5"/>
  <c r="O192" i="5"/>
  <c r="M192" i="5" a="1"/>
  <c r="M192" i="5" s="1"/>
  <c r="N192" i="5" s="1"/>
  <c r="J192" i="5"/>
  <c r="K192" i="5" s="1"/>
  <c r="P191" i="5"/>
  <c r="O191" i="5"/>
  <c r="M191" i="5" a="1"/>
  <c r="M191" i="5" s="1"/>
  <c r="N191" i="5" s="1"/>
  <c r="J191" i="5"/>
  <c r="K191" i="5" s="1"/>
  <c r="P190" i="5"/>
  <c r="O190" i="5"/>
  <c r="M190" i="5" a="1"/>
  <c r="M190" i="5"/>
  <c r="N190" i="5" s="1"/>
  <c r="J190" i="5"/>
  <c r="K190" i="5" s="1"/>
  <c r="P189" i="5"/>
  <c r="O189" i="5"/>
  <c r="M189" i="5" a="1"/>
  <c r="M189" i="5" s="1"/>
  <c r="N189" i="5" s="1"/>
  <c r="J189" i="5"/>
  <c r="K189" i="5" s="1"/>
  <c r="P188" i="5"/>
  <c r="O188" i="5"/>
  <c r="M188" i="5" a="1"/>
  <c r="M188" i="5"/>
  <c r="N188" i="5" s="1"/>
  <c r="J188" i="5"/>
  <c r="L188" i="5" s="1" a="1"/>
  <c r="L188" i="5" s="1"/>
  <c r="P187" i="5"/>
  <c r="O187" i="5"/>
  <c r="M187" i="5" a="1"/>
  <c r="M187" i="5" s="1"/>
  <c r="N187" i="5" s="1"/>
  <c r="J187" i="5"/>
  <c r="L187" i="5" s="1" a="1"/>
  <c r="L187" i="5" s="1"/>
  <c r="P186" i="5"/>
  <c r="O186" i="5"/>
  <c r="M186" i="5" a="1"/>
  <c r="M186" i="5"/>
  <c r="N186" i="5" s="1"/>
  <c r="J186" i="5"/>
  <c r="L186" i="5" s="1" a="1"/>
  <c r="L186" i="5" s="1"/>
  <c r="P185" i="5"/>
  <c r="O185" i="5"/>
  <c r="M185" i="5" a="1"/>
  <c r="M185" i="5" s="1"/>
  <c r="N185" i="5" s="1"/>
  <c r="J185" i="5"/>
  <c r="K185" i="5" s="1"/>
  <c r="P184" i="5"/>
  <c r="O184" i="5"/>
  <c r="M184" i="5" a="1"/>
  <c r="M184" i="5" s="1"/>
  <c r="N184" i="5" s="1"/>
  <c r="J184" i="5"/>
  <c r="P183" i="5"/>
  <c r="O183" i="5"/>
  <c r="M183" i="5" a="1"/>
  <c r="M183" i="5" s="1"/>
  <c r="N183" i="5" s="1"/>
  <c r="J183" i="5"/>
  <c r="K183" i="5" s="1"/>
  <c r="P182" i="5"/>
  <c r="O182" i="5"/>
  <c r="M182" i="5" a="1"/>
  <c r="M182" i="5" s="1"/>
  <c r="N182" i="5" s="1"/>
  <c r="J182" i="5"/>
  <c r="K182" i="5" s="1"/>
  <c r="P181" i="5"/>
  <c r="O181" i="5"/>
  <c r="M181" i="5" a="1"/>
  <c r="M181" i="5" s="1"/>
  <c r="N181" i="5" s="1"/>
  <c r="J181" i="5"/>
  <c r="P180" i="5"/>
  <c r="O180" i="5"/>
  <c r="M180" i="5" a="1"/>
  <c r="M180" i="5" s="1"/>
  <c r="N180" i="5" s="1"/>
  <c r="J180" i="5"/>
  <c r="K180" i="5" s="1"/>
  <c r="P179" i="5"/>
  <c r="O179" i="5"/>
  <c r="M179" i="5" a="1"/>
  <c r="M179" i="5" s="1"/>
  <c r="N179" i="5" s="1"/>
  <c r="J179" i="5"/>
  <c r="L179" i="5" s="1" a="1"/>
  <c r="L179" i="5" s="1"/>
  <c r="P178" i="5"/>
  <c r="O178" i="5"/>
  <c r="M178" i="5" a="1"/>
  <c r="M178" i="5" s="1"/>
  <c r="N178" i="5" s="1"/>
  <c r="J178" i="5"/>
  <c r="L178" i="5" s="1" a="1"/>
  <c r="L178" i="5" s="1"/>
  <c r="P177" i="5"/>
  <c r="O177" i="5"/>
  <c r="M177" i="5" a="1"/>
  <c r="M177" i="5" s="1"/>
  <c r="N177" i="5" s="1"/>
  <c r="J177" i="5"/>
  <c r="K177" i="5" s="1"/>
  <c r="P176" i="5"/>
  <c r="O176" i="5"/>
  <c r="M176" i="5" a="1"/>
  <c r="M176" i="5" s="1"/>
  <c r="N176" i="5" s="1"/>
  <c r="J176" i="5"/>
  <c r="K176" i="5" s="1"/>
  <c r="P175" i="5"/>
  <c r="O175" i="5"/>
  <c r="M175" i="5" a="1"/>
  <c r="M175" i="5"/>
  <c r="N175" i="5" s="1"/>
  <c r="J175" i="5"/>
  <c r="L175" i="5" s="1" a="1"/>
  <c r="L175" i="5" s="1"/>
  <c r="P174" i="5"/>
  <c r="O174" i="5"/>
  <c r="M174" i="5" a="1"/>
  <c r="M174" i="5" s="1"/>
  <c r="N174" i="5" s="1"/>
  <c r="J174" i="5"/>
  <c r="L174" i="5" s="1" a="1"/>
  <c r="L174" i="5" s="1"/>
  <c r="P173" i="5"/>
  <c r="O173" i="5"/>
  <c r="M173" i="5" a="1"/>
  <c r="M173" i="5" s="1"/>
  <c r="N173" i="5" s="1"/>
  <c r="J173" i="5"/>
  <c r="L173" i="5" s="1" a="1"/>
  <c r="L173" i="5" s="1"/>
  <c r="P172" i="5"/>
  <c r="O172" i="5"/>
  <c r="M172" i="5" a="1"/>
  <c r="M172" i="5" s="1"/>
  <c r="N172" i="5" s="1"/>
  <c r="J172" i="5"/>
  <c r="K172" i="5" s="1"/>
  <c r="P171" i="5"/>
  <c r="O171" i="5"/>
  <c r="M171" i="5" a="1"/>
  <c r="M171" i="5"/>
  <c r="N171" i="5" s="1"/>
  <c r="J171" i="5"/>
  <c r="K171" i="5" s="1"/>
  <c r="P170" i="5"/>
  <c r="O170" i="5"/>
  <c r="M170" i="5" a="1"/>
  <c r="M170" i="5" s="1"/>
  <c r="N170" i="5" s="1"/>
  <c r="J170" i="5"/>
  <c r="K170" i="5" s="1"/>
  <c r="P169" i="5"/>
  <c r="O169" i="5"/>
  <c r="M169" i="5" a="1"/>
  <c r="M169" i="5" s="1"/>
  <c r="N169" i="5" s="1"/>
  <c r="J169" i="5"/>
  <c r="L169" i="5" s="1" a="1"/>
  <c r="L169" i="5" s="1"/>
  <c r="P168" i="5"/>
  <c r="O168" i="5"/>
  <c r="M168" i="5" a="1"/>
  <c r="M168" i="5" s="1"/>
  <c r="N168" i="5" s="1"/>
  <c r="J168" i="5"/>
  <c r="L168" i="5" s="1" a="1"/>
  <c r="L168" i="5" s="1"/>
  <c r="P167" i="5"/>
  <c r="O167" i="5"/>
  <c r="M167" i="5" a="1"/>
  <c r="M167" i="5" s="1"/>
  <c r="N167" i="5" s="1"/>
  <c r="J167" i="5"/>
  <c r="P166" i="5"/>
  <c r="O166" i="5"/>
  <c r="M166" i="5" a="1"/>
  <c r="M166" i="5"/>
  <c r="N166" i="5" s="1"/>
  <c r="J166" i="5"/>
  <c r="L166" i="5" s="1" a="1"/>
  <c r="L166" i="5" s="1"/>
  <c r="P165" i="5"/>
  <c r="O165" i="5"/>
  <c r="M165" i="5" a="1"/>
  <c r="M165" i="5" s="1"/>
  <c r="N165" i="5" s="1"/>
  <c r="J165" i="5"/>
  <c r="K165" i="5" s="1"/>
  <c r="P164" i="5"/>
  <c r="O164" i="5"/>
  <c r="M164" i="5" a="1"/>
  <c r="M164" i="5"/>
  <c r="N164" i="5" s="1"/>
  <c r="J164" i="5"/>
  <c r="K164" i="5" s="1"/>
  <c r="P163" i="5"/>
  <c r="O163" i="5"/>
  <c r="M163" i="5" a="1"/>
  <c r="M163" i="5" s="1"/>
  <c r="N163" i="5" s="1"/>
  <c r="J163" i="5"/>
  <c r="P162" i="5"/>
  <c r="O162" i="5"/>
  <c r="M162" i="5" a="1"/>
  <c r="M162" i="5" s="1"/>
  <c r="N162" i="5" s="1"/>
  <c r="J162" i="5"/>
  <c r="P161" i="5"/>
  <c r="O161" i="5"/>
  <c r="M161" i="5" a="1"/>
  <c r="M161" i="5" s="1"/>
  <c r="N161" i="5" s="1"/>
  <c r="J161" i="5"/>
  <c r="L161" i="5" s="1" a="1"/>
  <c r="L161" i="5" s="1"/>
  <c r="P160" i="5"/>
  <c r="O160" i="5"/>
  <c r="M160" i="5" a="1"/>
  <c r="M160" i="5" s="1"/>
  <c r="N160" i="5" s="1"/>
  <c r="J160" i="5"/>
  <c r="L160" i="5" s="1" a="1"/>
  <c r="L160" i="5" s="1"/>
  <c r="P159" i="5"/>
  <c r="O159" i="5"/>
  <c r="M159" i="5" a="1"/>
  <c r="M159" i="5"/>
  <c r="N159" i="5" s="1"/>
  <c r="J159" i="5"/>
  <c r="K159" i="5" s="1"/>
  <c r="P158" i="5"/>
  <c r="O158" i="5"/>
  <c r="M158" i="5" a="1"/>
  <c r="M158" i="5" s="1"/>
  <c r="N158" i="5" s="1"/>
  <c r="J158" i="5"/>
  <c r="L158" i="5" s="1" a="1"/>
  <c r="L158" i="5" s="1"/>
  <c r="P157" i="5"/>
  <c r="O157" i="5"/>
  <c r="M157" i="5" a="1"/>
  <c r="M157" i="5" s="1"/>
  <c r="N157" i="5" s="1"/>
  <c r="J157" i="5"/>
  <c r="P156" i="5"/>
  <c r="O156" i="5"/>
  <c r="M156" i="5" a="1"/>
  <c r="M156" i="5" s="1"/>
  <c r="N156" i="5" s="1"/>
  <c r="J156" i="5"/>
  <c r="K156" i="5" s="1"/>
  <c r="P155" i="5"/>
  <c r="O155" i="5"/>
  <c r="M155" i="5" a="1"/>
  <c r="M155" i="5"/>
  <c r="N155" i="5" s="1"/>
  <c r="J155" i="5"/>
  <c r="P154" i="5"/>
  <c r="O154" i="5"/>
  <c r="M154" i="5" a="1"/>
  <c r="M154" i="5" s="1"/>
  <c r="N154" i="5" s="1"/>
  <c r="J154" i="5"/>
  <c r="L154" i="5" s="1" a="1"/>
  <c r="L154" i="5" s="1"/>
  <c r="P153" i="5"/>
  <c r="O153" i="5"/>
  <c r="M153" i="5" a="1"/>
  <c r="M153" i="5" s="1"/>
  <c r="N153" i="5" s="1"/>
  <c r="J153" i="5"/>
  <c r="L153" i="5" s="1" a="1"/>
  <c r="L153" i="5" s="1"/>
  <c r="P152" i="5"/>
  <c r="O152" i="5"/>
  <c r="M152" i="5" a="1"/>
  <c r="M152" i="5"/>
  <c r="N152" i="5" s="1"/>
  <c r="J152" i="5"/>
  <c r="P151" i="5"/>
  <c r="O151" i="5"/>
  <c r="M151" i="5" a="1"/>
  <c r="M151" i="5" s="1"/>
  <c r="N151" i="5" s="1"/>
  <c r="J151" i="5"/>
  <c r="K151" i="5" s="1"/>
  <c r="P150" i="5"/>
  <c r="O150" i="5"/>
  <c r="M150" i="5" a="1"/>
  <c r="M150" i="5" s="1"/>
  <c r="N150" i="5" s="1"/>
  <c r="J150" i="5"/>
  <c r="K150" i="5" s="1"/>
  <c r="P149" i="5"/>
  <c r="O149" i="5"/>
  <c r="M149" i="5" a="1"/>
  <c r="M149" i="5" s="1"/>
  <c r="N149" i="5" s="1"/>
  <c r="J149" i="5"/>
  <c r="L149" i="5" s="1" a="1"/>
  <c r="L149" i="5" s="1"/>
  <c r="P148" i="5"/>
  <c r="O148" i="5"/>
  <c r="M148" i="5" a="1"/>
  <c r="M148" i="5" s="1"/>
  <c r="N148" i="5" s="1"/>
  <c r="J148" i="5"/>
  <c r="K148" i="5" s="1"/>
  <c r="P147" i="5"/>
  <c r="O147" i="5"/>
  <c r="M147" i="5" a="1"/>
  <c r="M147" i="5"/>
  <c r="N147" i="5" s="1"/>
  <c r="J147" i="5"/>
  <c r="L147" i="5" s="1" a="1"/>
  <c r="L147" i="5" s="1"/>
  <c r="P146" i="5"/>
  <c r="O146" i="5"/>
  <c r="M146" i="5" a="1"/>
  <c r="M146" i="5" s="1"/>
  <c r="N146" i="5" s="1"/>
  <c r="J146" i="5"/>
  <c r="L146" i="5" s="1" a="1"/>
  <c r="L146" i="5" s="1"/>
  <c r="P145" i="5"/>
  <c r="O145" i="5"/>
  <c r="M145" i="5" a="1"/>
  <c r="M145" i="5" s="1"/>
  <c r="N145" i="5" s="1"/>
  <c r="J145" i="5"/>
  <c r="K145" i="5" s="1"/>
  <c r="P144" i="5"/>
  <c r="O144" i="5"/>
  <c r="M144" i="5" a="1"/>
  <c r="M144" i="5"/>
  <c r="N144" i="5" s="1"/>
  <c r="J144" i="5"/>
  <c r="K144" i="5" s="1"/>
  <c r="P143" i="5"/>
  <c r="O143" i="5"/>
  <c r="M143" i="5" a="1"/>
  <c r="M143" i="5" s="1"/>
  <c r="N143" i="5" s="1"/>
  <c r="J143" i="5"/>
  <c r="L143" i="5" s="1" a="1"/>
  <c r="L143" i="5" s="1"/>
  <c r="P142" i="5"/>
  <c r="O142" i="5"/>
  <c r="M142" i="5" a="1"/>
  <c r="M142" i="5" s="1"/>
  <c r="N142" i="5" s="1"/>
  <c r="J142" i="5"/>
  <c r="L142" i="5" s="1" a="1"/>
  <c r="L142" i="5" s="1"/>
  <c r="P141" i="5"/>
  <c r="O141" i="5"/>
  <c r="M141" i="5" a="1"/>
  <c r="M141" i="5"/>
  <c r="N141" i="5" s="1"/>
  <c r="J141" i="5"/>
  <c r="L141" i="5" s="1" a="1"/>
  <c r="L141" i="5" s="1"/>
  <c r="P140" i="5"/>
  <c r="O140" i="5"/>
  <c r="M140" i="5" a="1"/>
  <c r="M140" i="5" s="1"/>
  <c r="N140" i="5" s="1"/>
  <c r="J140" i="5"/>
  <c r="K140" i="5" s="1"/>
  <c r="P139" i="5"/>
  <c r="O139" i="5"/>
  <c r="M139" i="5" a="1"/>
  <c r="M139" i="5"/>
  <c r="N139" i="5" s="1"/>
  <c r="J139" i="5"/>
  <c r="K139" i="5" s="1"/>
  <c r="P138" i="5"/>
  <c r="O138" i="5"/>
  <c r="M138" i="5" a="1"/>
  <c r="M138" i="5" s="1"/>
  <c r="N138" i="5" s="1"/>
  <c r="J138" i="5"/>
  <c r="L138" i="5" s="1" a="1"/>
  <c r="L138" i="5" s="1"/>
  <c r="P137" i="5"/>
  <c r="O137" i="5"/>
  <c r="M137" i="5" a="1"/>
  <c r="M137" i="5" s="1"/>
  <c r="N137" i="5" s="1"/>
  <c r="J137" i="5"/>
  <c r="L137" i="5" s="1" a="1"/>
  <c r="L137" i="5" s="1"/>
  <c r="P136" i="5"/>
  <c r="O136" i="5"/>
  <c r="M136" i="5" a="1"/>
  <c r="M136" i="5" s="1"/>
  <c r="N136" i="5" s="1"/>
  <c r="J136" i="5"/>
  <c r="K136" i="5" s="1"/>
  <c r="P135" i="5"/>
  <c r="O135" i="5"/>
  <c r="M135" i="5" a="1"/>
  <c r="M135" i="5" s="1"/>
  <c r="N135" i="5" s="1"/>
  <c r="J135" i="5"/>
  <c r="L135" i="5" s="1" a="1"/>
  <c r="L135" i="5" s="1"/>
  <c r="P134" i="5"/>
  <c r="O134" i="5"/>
  <c r="M134" i="5" a="1"/>
  <c r="M134" i="5"/>
  <c r="N134" i="5" s="1"/>
  <c r="J134" i="5"/>
  <c r="L134" i="5" s="1" a="1"/>
  <c r="L134" i="5" s="1"/>
  <c r="P133" i="5"/>
  <c r="O133" i="5"/>
  <c r="M133" i="5" a="1"/>
  <c r="M133" i="5" s="1"/>
  <c r="N133" i="5" s="1"/>
  <c r="J133" i="5"/>
  <c r="K133" i="5" s="1"/>
  <c r="P132" i="5"/>
  <c r="O132" i="5"/>
  <c r="M132" i="5" a="1"/>
  <c r="M132" i="5" s="1"/>
  <c r="N132" i="5" s="1"/>
  <c r="J132" i="5"/>
  <c r="K132" i="5" s="1"/>
  <c r="P131" i="5"/>
  <c r="O131" i="5"/>
  <c r="M131" i="5" a="1"/>
  <c r="M131" i="5" s="1"/>
  <c r="N131" i="5" s="1"/>
  <c r="J131" i="5"/>
  <c r="K131" i="5" s="1"/>
  <c r="P130" i="5"/>
  <c r="O130" i="5"/>
  <c r="M130" i="5" a="1"/>
  <c r="M130" i="5" s="1"/>
  <c r="N130" i="5" s="1"/>
  <c r="J130" i="5"/>
  <c r="K130" i="5" s="1"/>
  <c r="P129" i="5"/>
  <c r="O129" i="5"/>
  <c r="M129" i="5" a="1"/>
  <c r="M129" i="5"/>
  <c r="N129" i="5" s="1"/>
  <c r="J129" i="5"/>
  <c r="L129" i="5" s="1" a="1"/>
  <c r="L129" i="5" s="1"/>
  <c r="P128" i="5"/>
  <c r="O128" i="5"/>
  <c r="M128" i="5" a="1"/>
  <c r="M128" i="5"/>
  <c r="N128" i="5" s="1"/>
  <c r="J128" i="5"/>
  <c r="L128" i="5" s="1" a="1"/>
  <c r="L128" i="5" s="1"/>
  <c r="P127" i="5"/>
  <c r="O127" i="5"/>
  <c r="M127" i="5" a="1"/>
  <c r="M127" i="5" s="1"/>
  <c r="N127" i="5" s="1"/>
  <c r="J127" i="5"/>
  <c r="L127" i="5" s="1" a="1"/>
  <c r="L127" i="5" s="1"/>
  <c r="P126" i="5"/>
  <c r="O126" i="5"/>
  <c r="M126" i="5" a="1"/>
  <c r="M126" i="5" s="1"/>
  <c r="N126" i="5" s="1"/>
  <c r="J126" i="5"/>
  <c r="P125" i="5"/>
  <c r="O125" i="5"/>
  <c r="M125" i="5" a="1"/>
  <c r="M125" i="5" s="1"/>
  <c r="N125" i="5" s="1"/>
  <c r="J125" i="5"/>
  <c r="K125" i="5" s="1"/>
  <c r="P124" i="5"/>
  <c r="O124" i="5"/>
  <c r="M124" i="5" a="1"/>
  <c r="M124" i="5"/>
  <c r="N124" i="5" s="1"/>
  <c r="J124" i="5"/>
  <c r="K124" i="5" s="1"/>
  <c r="P123" i="5"/>
  <c r="O123" i="5"/>
  <c r="M123" i="5" a="1"/>
  <c r="M123" i="5" s="1"/>
  <c r="N123" i="5" s="1"/>
  <c r="J123" i="5"/>
  <c r="L123" i="5" s="1" a="1"/>
  <c r="L123" i="5" s="1"/>
  <c r="P122" i="5"/>
  <c r="O122" i="5"/>
  <c r="M122" i="5" a="1"/>
  <c r="M122" i="5" s="1"/>
  <c r="N122" i="5" s="1"/>
  <c r="J122" i="5"/>
  <c r="L122" i="5" s="1" a="1"/>
  <c r="L122" i="5" s="1"/>
  <c r="P121" i="5"/>
  <c r="O121" i="5"/>
  <c r="M121" i="5" a="1"/>
  <c r="M121" i="5" s="1"/>
  <c r="N121" i="5" s="1"/>
  <c r="J121" i="5"/>
  <c r="L121" i="5" s="1" a="1"/>
  <c r="L121" i="5" s="1"/>
  <c r="P120" i="5"/>
  <c r="O120" i="5"/>
  <c r="M120" i="5" a="1"/>
  <c r="M120" i="5"/>
  <c r="N120" i="5" s="1"/>
  <c r="J120" i="5"/>
  <c r="P119" i="5"/>
  <c r="O119" i="5"/>
  <c r="M119" i="5" a="1"/>
  <c r="M119" i="5" s="1"/>
  <c r="N119" i="5" s="1"/>
  <c r="J119" i="5"/>
  <c r="L119" i="5" s="1" a="1"/>
  <c r="L119" i="5" s="1"/>
  <c r="P118" i="5"/>
  <c r="O118" i="5"/>
  <c r="M118" i="5" a="1"/>
  <c r="M118" i="5" s="1"/>
  <c r="N118" i="5" s="1"/>
  <c r="J118" i="5"/>
  <c r="L118" i="5" s="1" a="1"/>
  <c r="L118" i="5" s="1"/>
  <c r="P117" i="5"/>
  <c r="O117" i="5"/>
  <c r="M117" i="5" a="1"/>
  <c r="M117" i="5" s="1"/>
  <c r="N117" i="5" s="1"/>
  <c r="J117" i="5"/>
  <c r="K117" i="5" s="1"/>
  <c r="P116" i="5"/>
  <c r="O116" i="5"/>
  <c r="M116" i="5" a="1"/>
  <c r="M116" i="5" s="1"/>
  <c r="N116" i="5" s="1"/>
  <c r="J116" i="5"/>
  <c r="K116" i="5" s="1"/>
  <c r="P115" i="5"/>
  <c r="O115" i="5"/>
  <c r="M115" i="5" a="1"/>
  <c r="M115" i="5"/>
  <c r="N115" i="5" s="1"/>
  <c r="J115" i="5"/>
  <c r="K115" i="5" s="1"/>
  <c r="P114" i="5"/>
  <c r="O114" i="5"/>
  <c r="M114" i="5" a="1"/>
  <c r="M114" i="5" s="1"/>
  <c r="N114" i="5" s="1"/>
  <c r="J114" i="5"/>
  <c r="L114" i="5" s="1" a="1"/>
  <c r="L114" i="5" s="1"/>
  <c r="P113" i="5"/>
  <c r="O113" i="5"/>
  <c r="M113" i="5" a="1"/>
  <c r="M113" i="5" s="1"/>
  <c r="N113" i="5" s="1"/>
  <c r="J113" i="5"/>
  <c r="L113" i="5" s="1" a="1"/>
  <c r="L113" i="5" s="1"/>
  <c r="P112" i="5"/>
  <c r="O112" i="5"/>
  <c r="M112" i="5" a="1"/>
  <c r="M112" i="5"/>
  <c r="N112" i="5" s="1"/>
  <c r="J112" i="5"/>
  <c r="K112" i="5" s="1"/>
  <c r="P111" i="5"/>
  <c r="O111" i="5"/>
  <c r="M111" i="5" a="1"/>
  <c r="M111" i="5"/>
  <c r="N111" i="5" s="1"/>
  <c r="J111" i="5"/>
  <c r="P110" i="5"/>
  <c r="O110" i="5"/>
  <c r="M110" i="5" a="1"/>
  <c r="M110" i="5" s="1"/>
  <c r="N110" i="5" s="1"/>
  <c r="J110" i="5"/>
  <c r="P109" i="5"/>
  <c r="O109" i="5"/>
  <c r="M109" i="5" a="1"/>
  <c r="M109" i="5" s="1"/>
  <c r="N109" i="5" s="1"/>
  <c r="J109" i="5"/>
  <c r="P108" i="5"/>
  <c r="O108" i="5"/>
  <c r="M108" i="5" a="1"/>
  <c r="M108" i="5"/>
  <c r="N108" i="5" s="1"/>
  <c r="J108" i="5"/>
  <c r="P107" i="5"/>
  <c r="O107" i="5"/>
  <c r="M107" i="5" a="1"/>
  <c r="M107" i="5"/>
  <c r="N107" i="5" s="1"/>
  <c r="J107" i="5"/>
  <c r="L107" i="5" s="1" a="1"/>
  <c r="L107" i="5" s="1"/>
  <c r="P106" i="5"/>
  <c r="O106" i="5"/>
  <c r="M106" i="5" a="1"/>
  <c r="M106" i="5"/>
  <c r="N106" i="5" s="1"/>
  <c r="J106" i="5"/>
  <c r="L106" i="5" s="1" a="1"/>
  <c r="L106" i="5" s="1"/>
  <c r="P105" i="5"/>
  <c r="O105" i="5"/>
  <c r="M105" i="5" a="1"/>
  <c r="M105" i="5" s="1"/>
  <c r="N105" i="5" s="1"/>
  <c r="J105" i="5"/>
  <c r="K105" i="5" s="1"/>
  <c r="P104" i="5"/>
  <c r="O104" i="5"/>
  <c r="M104" i="5" a="1"/>
  <c r="M104" i="5"/>
  <c r="N104" i="5" s="1"/>
  <c r="J104" i="5"/>
  <c r="K104" i="5" s="1"/>
  <c r="P103" i="5"/>
  <c r="O103" i="5"/>
  <c r="M103" i="5" a="1"/>
  <c r="M103" i="5" s="1"/>
  <c r="N103" i="5" s="1"/>
  <c r="J103" i="5"/>
  <c r="K103" i="5" s="1"/>
  <c r="P102" i="5"/>
  <c r="O102" i="5"/>
  <c r="M102" i="5" a="1"/>
  <c r="M102" i="5"/>
  <c r="N102" i="5" s="1"/>
  <c r="J102" i="5"/>
  <c r="L102" i="5" s="1" a="1"/>
  <c r="L102" i="5" s="1"/>
  <c r="P101" i="5"/>
  <c r="O101" i="5"/>
  <c r="M101" i="5" a="1"/>
  <c r="M101" i="5" s="1"/>
  <c r="N101" i="5" s="1"/>
  <c r="J101" i="5"/>
  <c r="L101" i="5" s="1" a="1"/>
  <c r="L101" i="5" s="1"/>
  <c r="P100" i="5"/>
  <c r="O100" i="5"/>
  <c r="M100" i="5" a="1"/>
  <c r="M100" i="5" s="1"/>
  <c r="N100" i="5" s="1"/>
  <c r="J100" i="5"/>
  <c r="L100" i="5" s="1" a="1"/>
  <c r="L100" i="5" s="1"/>
  <c r="P99" i="5"/>
  <c r="O99" i="5"/>
  <c r="M99" i="5" a="1"/>
  <c r="M99" i="5" s="1"/>
  <c r="N99" i="5" s="1"/>
  <c r="J99" i="5"/>
  <c r="K99" i="5" s="1"/>
  <c r="P98" i="5"/>
  <c r="O98" i="5"/>
  <c r="M98" i="5" a="1"/>
  <c r="M98" i="5" s="1"/>
  <c r="N98" i="5" s="1"/>
  <c r="J98" i="5"/>
  <c r="P97" i="5"/>
  <c r="O97" i="5"/>
  <c r="M97" i="5" a="1"/>
  <c r="M97" i="5" s="1"/>
  <c r="N97" i="5" s="1"/>
  <c r="J97" i="5"/>
  <c r="L97" i="5" s="1" a="1"/>
  <c r="L97" i="5" s="1"/>
  <c r="P96" i="5"/>
  <c r="O96" i="5"/>
  <c r="M96" i="5" a="1"/>
  <c r="M96" i="5" s="1"/>
  <c r="N96" i="5" s="1"/>
  <c r="J96" i="5"/>
  <c r="P95" i="5"/>
  <c r="O95" i="5"/>
  <c r="M95" i="5" a="1"/>
  <c r="M95" i="5"/>
  <c r="N95" i="5" s="1"/>
  <c r="J95" i="5"/>
  <c r="L95" i="5" s="1" a="1"/>
  <c r="L95" i="5" s="1"/>
  <c r="P94" i="5"/>
  <c r="O94" i="5"/>
  <c r="M94" i="5" a="1"/>
  <c r="M94" i="5" s="1"/>
  <c r="N94" i="5" s="1"/>
  <c r="J94" i="5"/>
  <c r="L94" i="5" s="1" a="1"/>
  <c r="L94" i="5" s="1"/>
  <c r="P93" i="5"/>
  <c r="O93" i="5"/>
  <c r="M93" i="5" a="1"/>
  <c r="M93" i="5" s="1"/>
  <c r="N93" i="5" s="1"/>
  <c r="J93" i="5"/>
  <c r="L93" i="5" s="1" a="1"/>
  <c r="L93" i="5" s="1"/>
  <c r="P92" i="5"/>
  <c r="O92" i="5"/>
  <c r="M92" i="5" a="1"/>
  <c r="M92" i="5"/>
  <c r="N92" i="5" s="1"/>
  <c r="J92" i="5"/>
  <c r="K92" i="5" s="1"/>
  <c r="P91" i="5"/>
  <c r="O91" i="5"/>
  <c r="M91" i="5" a="1"/>
  <c r="M91" i="5" s="1"/>
  <c r="N91" i="5" s="1"/>
  <c r="J91" i="5"/>
  <c r="L91" i="5" s="1" a="1"/>
  <c r="L91" i="5" s="1"/>
  <c r="P90" i="5"/>
  <c r="O90" i="5"/>
  <c r="M90" i="5" a="1"/>
  <c r="M90" i="5" s="1"/>
  <c r="N90" i="5" s="1"/>
  <c r="J90" i="5"/>
  <c r="L90" i="5" s="1" a="1"/>
  <c r="L90" i="5" s="1"/>
  <c r="P89" i="5"/>
  <c r="O89" i="5"/>
  <c r="M89" i="5" a="1"/>
  <c r="M89" i="5"/>
  <c r="N89" i="5" s="1"/>
  <c r="J89" i="5"/>
  <c r="K89" i="5" s="1"/>
  <c r="P88" i="5"/>
  <c r="O88" i="5"/>
  <c r="M88" i="5" a="1"/>
  <c r="M88" i="5"/>
  <c r="N88" i="5" s="1"/>
  <c r="J88" i="5"/>
  <c r="K88" i="5" s="1"/>
  <c r="P87" i="5"/>
  <c r="O87" i="5"/>
  <c r="M87" i="5" a="1"/>
  <c r="M87" i="5" s="1"/>
  <c r="N87" i="5" s="1"/>
  <c r="J87" i="5"/>
  <c r="L87" i="5" s="1" a="1"/>
  <c r="L87" i="5" s="1"/>
  <c r="P86" i="5"/>
  <c r="O86" i="5"/>
  <c r="M86" i="5" a="1"/>
  <c r="M86" i="5"/>
  <c r="N86" i="5" s="1"/>
  <c r="J86" i="5"/>
  <c r="L86" i="5" s="1" a="1"/>
  <c r="L86" i="5" s="1"/>
  <c r="P85" i="5"/>
  <c r="O85" i="5"/>
  <c r="M85" i="5" a="1"/>
  <c r="M85" i="5" s="1"/>
  <c r="N85" i="5" s="1"/>
  <c r="J85" i="5"/>
  <c r="P84" i="5"/>
  <c r="O84" i="5"/>
  <c r="M84" i="5" a="1"/>
  <c r="M84" i="5"/>
  <c r="N84" i="5" s="1"/>
  <c r="J84" i="5"/>
  <c r="P83" i="5"/>
  <c r="O83" i="5"/>
  <c r="M83" i="5" a="1"/>
  <c r="M83" i="5" s="1"/>
  <c r="N83" i="5" s="1"/>
  <c r="J83" i="5"/>
  <c r="P82" i="5"/>
  <c r="O82" i="5"/>
  <c r="M82" i="5" a="1"/>
  <c r="M82" i="5" s="1"/>
  <c r="N82" i="5" s="1"/>
  <c r="J82" i="5"/>
  <c r="K82" i="5" s="1"/>
  <c r="P81" i="5"/>
  <c r="O81" i="5"/>
  <c r="M81" i="5" a="1"/>
  <c r="M81" i="5" s="1"/>
  <c r="N81" i="5" s="1"/>
  <c r="J81" i="5"/>
  <c r="L81" i="5" s="1" a="1"/>
  <c r="L81" i="5" s="1"/>
  <c r="P80" i="5"/>
  <c r="O80" i="5"/>
  <c r="M80" i="5" a="1"/>
  <c r="M80" i="5"/>
  <c r="N80" i="5" s="1"/>
  <c r="J80" i="5"/>
  <c r="L80" i="5" s="1" a="1"/>
  <c r="L80" i="5" s="1"/>
  <c r="P79" i="5"/>
  <c r="O79" i="5"/>
  <c r="M79" i="5" a="1"/>
  <c r="M79" i="5" s="1"/>
  <c r="N79" i="5" s="1"/>
  <c r="J79" i="5"/>
  <c r="K79" i="5" s="1"/>
  <c r="P78" i="5"/>
  <c r="O78" i="5"/>
  <c r="M78" i="5" a="1"/>
  <c r="M78" i="5" s="1"/>
  <c r="N78" i="5" s="1"/>
  <c r="J78" i="5"/>
  <c r="L78" i="5" s="1" a="1"/>
  <c r="L78" i="5" s="1"/>
  <c r="P77" i="5"/>
  <c r="O77" i="5"/>
  <c r="M77" i="5" a="1"/>
  <c r="M77" i="5" s="1"/>
  <c r="N77" i="5" s="1"/>
  <c r="J77" i="5"/>
  <c r="L77" i="5" s="1" a="1"/>
  <c r="L77" i="5" s="1"/>
  <c r="P76" i="5"/>
  <c r="O76" i="5"/>
  <c r="M76" i="5" a="1"/>
  <c r="M76" i="5" s="1"/>
  <c r="N76" i="5" s="1"/>
  <c r="J76" i="5"/>
  <c r="K76" i="5" s="1"/>
  <c r="P75" i="5"/>
  <c r="O75" i="5"/>
  <c r="M75" i="5" a="1"/>
  <c r="M75" i="5" s="1"/>
  <c r="N75" i="5" s="1"/>
  <c r="J75" i="5"/>
  <c r="P74" i="5"/>
  <c r="O74" i="5"/>
  <c r="M74" i="5" a="1"/>
  <c r="M74" i="5" s="1"/>
  <c r="N74" i="5" s="1"/>
  <c r="J74" i="5"/>
  <c r="L74" i="5" s="1" a="1"/>
  <c r="L74" i="5" s="1"/>
  <c r="P73" i="5"/>
  <c r="O73" i="5"/>
  <c r="M73" i="5" a="1"/>
  <c r="M73" i="5" s="1"/>
  <c r="N73" i="5" s="1"/>
  <c r="J73" i="5"/>
  <c r="K73" i="5" s="1"/>
  <c r="P72" i="5"/>
  <c r="O72" i="5"/>
  <c r="M72" i="5" a="1"/>
  <c r="M72" i="5" s="1"/>
  <c r="N72" i="5" s="1"/>
  <c r="J72" i="5"/>
  <c r="K72" i="5" s="1"/>
  <c r="P71" i="5"/>
  <c r="O71" i="5"/>
  <c r="M71" i="5" a="1"/>
  <c r="M71" i="5" s="1"/>
  <c r="N71" i="5" s="1"/>
  <c r="J71" i="5"/>
  <c r="L71" i="5" s="1" a="1"/>
  <c r="L71" i="5" s="1"/>
  <c r="P70" i="5"/>
  <c r="O70" i="5"/>
  <c r="M70" i="5" a="1"/>
  <c r="M70" i="5" s="1"/>
  <c r="N70" i="5" s="1"/>
  <c r="J70" i="5"/>
  <c r="L70" i="5" s="1" a="1"/>
  <c r="L70" i="5" s="1"/>
  <c r="P69" i="5"/>
  <c r="O69" i="5"/>
  <c r="M69" i="5" a="1"/>
  <c r="M69" i="5" s="1"/>
  <c r="N69" i="5" s="1"/>
  <c r="J69" i="5"/>
  <c r="P68" i="5"/>
  <c r="O68" i="5"/>
  <c r="M68" i="5" a="1"/>
  <c r="M68" i="5" s="1"/>
  <c r="N68" i="5" s="1"/>
  <c r="J68" i="5"/>
  <c r="P67" i="5"/>
  <c r="O67" i="5"/>
  <c r="M67" i="5" a="1"/>
  <c r="M67" i="5" s="1"/>
  <c r="N67" i="5" s="1"/>
  <c r="J67" i="5"/>
  <c r="L67" i="5" s="1" a="1"/>
  <c r="L67" i="5" s="1"/>
  <c r="P66" i="5"/>
  <c r="O66" i="5"/>
  <c r="M66" i="5" a="1"/>
  <c r="M66" i="5"/>
  <c r="N66" i="5" s="1"/>
  <c r="J66" i="5"/>
  <c r="L66" i="5" s="1" a="1"/>
  <c r="L66" i="5" s="1"/>
  <c r="P65" i="5"/>
  <c r="O65" i="5"/>
  <c r="M65" i="5" a="1"/>
  <c r="M65" i="5" s="1"/>
  <c r="N65" i="5" s="1"/>
  <c r="J65" i="5"/>
  <c r="K65" i="5" s="1"/>
  <c r="P64" i="5"/>
  <c r="O64" i="5"/>
  <c r="M64" i="5" a="1"/>
  <c r="M64" i="5" s="1"/>
  <c r="N64" i="5" s="1"/>
  <c r="J64" i="5"/>
  <c r="P63" i="5"/>
  <c r="O63" i="5"/>
  <c r="M63" i="5" a="1"/>
  <c r="M63" i="5" s="1"/>
  <c r="N63" i="5" s="1"/>
  <c r="J63" i="5"/>
  <c r="K63" i="5" s="1"/>
  <c r="P62" i="5"/>
  <c r="O62" i="5"/>
  <c r="M62" i="5" a="1"/>
  <c r="M62" i="5" s="1"/>
  <c r="N62" i="5" s="1"/>
  <c r="J62" i="5"/>
  <c r="K62" i="5" s="1"/>
  <c r="P61" i="5"/>
  <c r="O61" i="5"/>
  <c r="M61" i="5" a="1"/>
  <c r="M61" i="5"/>
  <c r="N61" i="5" s="1"/>
  <c r="J61" i="5"/>
  <c r="L61" i="5" s="1" a="1"/>
  <c r="L61" i="5" s="1"/>
  <c r="P60" i="5"/>
  <c r="O60" i="5"/>
  <c r="M60" i="5" a="1"/>
  <c r="M60" i="5" s="1"/>
  <c r="N60" i="5" s="1"/>
  <c r="J60" i="5"/>
  <c r="L60" i="5" s="1" a="1"/>
  <c r="L60" i="5" s="1"/>
  <c r="P59" i="5"/>
  <c r="O59" i="5"/>
  <c r="M59" i="5" a="1"/>
  <c r="M59" i="5" s="1"/>
  <c r="N59" i="5" s="1"/>
  <c r="J59" i="5"/>
  <c r="P58" i="5"/>
  <c r="O58" i="5"/>
  <c r="M58" i="5" a="1"/>
  <c r="M58" i="5" s="1"/>
  <c r="N58" i="5" s="1"/>
  <c r="J58" i="5"/>
  <c r="L58" i="5" s="1" a="1"/>
  <c r="L58" i="5" s="1"/>
  <c r="P57" i="5"/>
  <c r="O57" i="5"/>
  <c r="M57" i="5" a="1"/>
  <c r="M57" i="5" s="1"/>
  <c r="N57" i="5" s="1"/>
  <c r="J57" i="5"/>
  <c r="K57" i="5" s="1"/>
  <c r="P56" i="5"/>
  <c r="O56" i="5"/>
  <c r="M56" i="5" a="1"/>
  <c r="M56" i="5" s="1"/>
  <c r="N56" i="5" s="1"/>
  <c r="J56" i="5"/>
  <c r="K56" i="5" s="1"/>
  <c r="P55" i="5"/>
  <c r="O55" i="5"/>
  <c r="M55" i="5" a="1"/>
  <c r="M55" i="5" s="1"/>
  <c r="N55" i="5" s="1"/>
  <c r="J55" i="5"/>
  <c r="L55" i="5" s="1" a="1"/>
  <c r="L55" i="5" s="1"/>
  <c r="P54" i="5"/>
  <c r="O54" i="5"/>
  <c r="M54" i="5" a="1"/>
  <c r="M54" i="5" s="1"/>
  <c r="N54" i="5" s="1"/>
  <c r="J54" i="5"/>
  <c r="L54" i="5" s="1" a="1"/>
  <c r="L54" i="5" s="1"/>
  <c r="P53" i="5"/>
  <c r="O53" i="5"/>
  <c r="M53" i="5" a="1"/>
  <c r="M53" i="5" s="1"/>
  <c r="N53" i="5" s="1"/>
  <c r="J53" i="5"/>
  <c r="K53" i="5" s="1"/>
  <c r="P52" i="5"/>
  <c r="O52" i="5"/>
  <c r="M52" i="5" a="1"/>
  <c r="M52" i="5" s="1"/>
  <c r="N52" i="5" s="1"/>
  <c r="J52" i="5"/>
  <c r="K52" i="5" s="1"/>
  <c r="P51" i="5"/>
  <c r="O51" i="5"/>
  <c r="M51" i="5" a="1"/>
  <c r="M51" i="5" s="1"/>
  <c r="N51" i="5" s="1"/>
  <c r="J51" i="5"/>
  <c r="L51" i="5" s="1" a="1"/>
  <c r="L51" i="5" s="1"/>
  <c r="P50" i="5"/>
  <c r="O50" i="5"/>
  <c r="M50" i="5" a="1"/>
  <c r="M50" i="5"/>
  <c r="N50" i="5" s="1"/>
  <c r="J50" i="5"/>
  <c r="L50" i="5" s="1" a="1"/>
  <c r="L50" i="5" s="1"/>
  <c r="P49" i="5"/>
  <c r="O49" i="5"/>
  <c r="M49" i="5" a="1"/>
  <c r="M49" i="5" s="1"/>
  <c r="N49" i="5" s="1"/>
  <c r="J49" i="5"/>
  <c r="L49" i="5" s="1" a="1"/>
  <c r="L49" i="5" s="1"/>
  <c r="P48" i="5"/>
  <c r="O48" i="5"/>
  <c r="M48" i="5" a="1"/>
  <c r="M48" i="5" s="1"/>
  <c r="N48" i="5" s="1"/>
  <c r="J48" i="5"/>
  <c r="L48" i="5" s="1" a="1"/>
  <c r="L48" i="5" s="1"/>
  <c r="P47" i="5"/>
  <c r="O47" i="5"/>
  <c r="M47" i="5" a="1"/>
  <c r="M47" i="5"/>
  <c r="N47" i="5" s="1"/>
  <c r="J47" i="5"/>
  <c r="L47" i="5" s="1" a="1"/>
  <c r="L47" i="5" s="1"/>
  <c r="P46" i="5"/>
  <c r="O46" i="5"/>
  <c r="M46" i="5" a="1"/>
  <c r="M46" i="5" s="1"/>
  <c r="N46" i="5" s="1"/>
  <c r="J46" i="5"/>
  <c r="L46" i="5" s="1" a="1"/>
  <c r="L46" i="5" s="1"/>
  <c r="P45" i="5"/>
  <c r="O45" i="5"/>
  <c r="M45" i="5" a="1"/>
  <c r="M45" i="5" s="1"/>
  <c r="N45" i="5" s="1"/>
  <c r="J45" i="5"/>
  <c r="P44" i="5"/>
  <c r="O44" i="5"/>
  <c r="M44" i="5" a="1"/>
  <c r="M44" i="5"/>
  <c r="N44" i="5" s="1"/>
  <c r="J44" i="5"/>
  <c r="K44" i="5" s="1"/>
  <c r="P43" i="5"/>
  <c r="O43" i="5"/>
  <c r="M43" i="5" a="1"/>
  <c r="M43" i="5"/>
  <c r="N43" i="5" s="1"/>
  <c r="J43" i="5"/>
  <c r="K43" i="5" s="1"/>
  <c r="P42" i="5"/>
  <c r="O42" i="5"/>
  <c r="M42" i="5" a="1"/>
  <c r="M42" i="5" s="1"/>
  <c r="N42" i="5" s="1"/>
  <c r="J42" i="5"/>
  <c r="K42" i="5" s="1"/>
  <c r="P41" i="5"/>
  <c r="O41" i="5"/>
  <c r="M41" i="5" a="1"/>
  <c r="M41" i="5"/>
  <c r="N41" i="5" s="1"/>
  <c r="J41" i="5"/>
  <c r="L41" i="5" s="1" a="1"/>
  <c r="L41" i="5" s="1"/>
  <c r="P40" i="5"/>
  <c r="O40" i="5"/>
  <c r="M40" i="5" a="1"/>
  <c r="M40" i="5"/>
  <c r="N40" i="5" s="1"/>
  <c r="J40" i="5"/>
  <c r="L40" i="5" s="1" a="1"/>
  <c r="L40" i="5" s="1"/>
  <c r="P39" i="5"/>
  <c r="O39" i="5"/>
  <c r="M39" i="5" a="1"/>
  <c r="M39" i="5" s="1"/>
  <c r="N39" i="5" s="1"/>
  <c r="J39" i="5"/>
  <c r="L39" i="5" s="1" a="1"/>
  <c r="L39" i="5" s="1"/>
  <c r="P38" i="5"/>
  <c r="O38" i="5"/>
  <c r="M38" i="5" a="1"/>
  <c r="M38" i="5" s="1"/>
  <c r="N38" i="5" s="1"/>
  <c r="J38" i="5"/>
  <c r="L38" i="5" s="1" a="1"/>
  <c r="L38" i="5" s="1"/>
  <c r="P37" i="5"/>
  <c r="O37" i="5"/>
  <c r="M37" i="5" a="1"/>
  <c r="M37" i="5" s="1"/>
  <c r="N37" i="5" s="1"/>
  <c r="J37" i="5"/>
  <c r="L37" i="5" s="1" a="1"/>
  <c r="L37" i="5" s="1"/>
  <c r="P36" i="5"/>
  <c r="O36" i="5"/>
  <c r="M36" i="5" a="1"/>
  <c r="M36" i="5"/>
  <c r="N36" i="5" s="1"/>
  <c r="J36" i="5"/>
  <c r="K36" i="5" s="1"/>
  <c r="P35" i="5"/>
  <c r="O35" i="5"/>
  <c r="M35" i="5" a="1"/>
  <c r="M35" i="5"/>
  <c r="N35" i="5" s="1"/>
  <c r="J35" i="5"/>
  <c r="L35" i="5" s="1" a="1"/>
  <c r="L35" i="5" s="1"/>
  <c r="P34" i="5"/>
  <c r="O34" i="5"/>
  <c r="M34" i="5" a="1"/>
  <c r="M34" i="5" s="1"/>
  <c r="N34" i="5" s="1"/>
  <c r="J34" i="5"/>
  <c r="P33" i="5"/>
  <c r="O33" i="5"/>
  <c r="M33" i="5" a="1"/>
  <c r="M33" i="5" s="1"/>
  <c r="N33" i="5" s="1"/>
  <c r="J33" i="5"/>
  <c r="P32" i="5"/>
  <c r="O32" i="5"/>
  <c r="M32" i="5" a="1"/>
  <c r="M32" i="5"/>
  <c r="N32" i="5" s="1"/>
  <c r="J32" i="5"/>
  <c r="K32" i="5" s="1"/>
  <c r="P31" i="5"/>
  <c r="O31" i="5"/>
  <c r="M31" i="5" a="1"/>
  <c r="M31" i="5"/>
  <c r="N31" i="5" s="1"/>
  <c r="J31" i="5"/>
  <c r="K31" i="5" s="1"/>
  <c r="P30" i="5"/>
  <c r="O30" i="5"/>
  <c r="M30" i="5" a="1"/>
  <c r="M30" i="5" s="1"/>
  <c r="N30" i="5" s="1"/>
  <c r="J30" i="5"/>
  <c r="L30" i="5" s="1" a="1"/>
  <c r="L30" i="5" s="1"/>
  <c r="P29" i="5"/>
  <c r="O29" i="5"/>
  <c r="M29" i="5" a="1"/>
  <c r="M29" i="5"/>
  <c r="N29" i="5" s="1"/>
  <c r="J29" i="5"/>
  <c r="L29" i="5" s="1" a="1"/>
  <c r="L29" i="5" s="1"/>
  <c r="P28" i="5"/>
  <c r="O28" i="5"/>
  <c r="M28" i="5" a="1"/>
  <c r="M28" i="5" s="1"/>
  <c r="N28" i="5" s="1"/>
  <c r="J28" i="5"/>
  <c r="L28" i="5" s="1" a="1"/>
  <c r="L28" i="5" s="1"/>
  <c r="P27" i="5"/>
  <c r="O27" i="5"/>
  <c r="M27" i="5" a="1"/>
  <c r="M27" i="5" s="1"/>
  <c r="N27" i="5" s="1"/>
  <c r="J27" i="5"/>
  <c r="L27" i="5" s="1" a="1"/>
  <c r="L27" i="5" s="1"/>
  <c r="P26" i="5"/>
  <c r="O26" i="5"/>
  <c r="M26" i="5" a="1"/>
  <c r="M26" i="5" s="1"/>
  <c r="N26" i="5" s="1"/>
  <c r="J26" i="5"/>
  <c r="L26" i="5" s="1" a="1"/>
  <c r="L26" i="5" s="1"/>
  <c r="P25" i="5"/>
  <c r="O25" i="5"/>
  <c r="M25" i="5" a="1"/>
  <c r="M25" i="5" s="1"/>
  <c r="N25" i="5" s="1"/>
  <c r="J25" i="5"/>
  <c r="K25" i="5" s="1"/>
  <c r="P24" i="5"/>
  <c r="O24" i="5"/>
  <c r="M24" i="5" a="1"/>
  <c r="M24" i="5" s="1"/>
  <c r="N24" i="5" s="1"/>
  <c r="J24" i="5"/>
  <c r="K24" i="5" s="1"/>
  <c r="P23" i="5"/>
  <c r="O23" i="5"/>
  <c r="M23" i="5" a="1"/>
  <c r="M23" i="5"/>
  <c r="N23" i="5" s="1"/>
  <c r="J23" i="5"/>
  <c r="L23" i="5" s="1" a="1"/>
  <c r="L23" i="5" s="1"/>
  <c r="P22" i="5"/>
  <c r="O22" i="5"/>
  <c r="M22" i="5" a="1"/>
  <c r="M22" i="5" s="1"/>
  <c r="N22" i="5" s="1"/>
  <c r="J22" i="5"/>
  <c r="K22" i="5" s="1"/>
  <c r="T21" i="5"/>
  <c r="P21" i="5"/>
  <c r="O21" i="5"/>
  <c r="M21" i="5" a="1"/>
  <c r="M21" i="5"/>
  <c r="N21" i="5" s="1"/>
  <c r="J21" i="5"/>
  <c r="K21" i="5" s="1"/>
  <c r="T20" i="5"/>
  <c r="P20" i="5"/>
  <c r="O20" i="5"/>
  <c r="M20" i="5" a="1"/>
  <c r="M20" i="5" s="1"/>
  <c r="N20" i="5" s="1"/>
  <c r="J20" i="5"/>
  <c r="K20" i="5" s="1"/>
  <c r="P19" i="5"/>
  <c r="O19" i="5"/>
  <c r="M19" i="5" a="1"/>
  <c r="M19" i="5" s="1"/>
  <c r="N19" i="5" s="1"/>
  <c r="J19" i="5"/>
  <c r="K19" i="5" s="1"/>
  <c r="P18" i="5"/>
  <c r="O18" i="5"/>
  <c r="M18" i="5" a="1"/>
  <c r="M18" i="5"/>
  <c r="N18" i="5" s="1"/>
  <c r="J18" i="5"/>
  <c r="K18" i="5" s="1"/>
  <c r="P17" i="5"/>
  <c r="O17" i="5"/>
  <c r="M17" i="5" a="1"/>
  <c r="M17" i="5" s="1"/>
  <c r="N17" i="5" s="1"/>
  <c r="J17" i="5"/>
  <c r="K17" i="5" s="1"/>
  <c r="P16" i="5"/>
  <c r="O16" i="5"/>
  <c r="M16" i="5" a="1"/>
  <c r="M16" i="5" s="1"/>
  <c r="N16" i="5" s="1"/>
  <c r="J16" i="5"/>
  <c r="L16" i="5" s="1" a="1"/>
  <c r="L16" i="5" s="1"/>
  <c r="P15" i="5"/>
  <c r="O15" i="5"/>
  <c r="M15" i="5" a="1"/>
  <c r="M15" i="5" s="1"/>
  <c r="N15" i="5" s="1"/>
  <c r="J15" i="5"/>
  <c r="L15" i="5" s="1" a="1"/>
  <c r="L15" i="5" s="1"/>
  <c r="P14" i="5"/>
  <c r="O14" i="5"/>
  <c r="M14" i="5" a="1"/>
  <c r="M14" i="5" s="1"/>
  <c r="N14" i="5" s="1"/>
  <c r="J14" i="5"/>
  <c r="L14" i="5" s="1" a="1"/>
  <c r="L14" i="5" s="1"/>
  <c r="P13" i="5"/>
  <c r="O13" i="5"/>
  <c r="M13" i="5" a="1"/>
  <c r="M13" i="5" s="1"/>
  <c r="N13" i="5" s="1"/>
  <c r="J13" i="5"/>
  <c r="K13" i="5" s="1"/>
  <c r="P12" i="5"/>
  <c r="O12" i="5"/>
  <c r="M12" i="5" a="1"/>
  <c r="M12" i="5" s="1"/>
  <c r="N12" i="5" s="1"/>
  <c r="J12" i="5"/>
  <c r="L12" i="5" s="1" a="1"/>
  <c r="L12" i="5" s="1"/>
  <c r="P11" i="5"/>
  <c r="O11" i="5"/>
  <c r="M11" i="5" a="1"/>
  <c r="M11" i="5" s="1"/>
  <c r="N11" i="5" s="1"/>
  <c r="J11" i="5"/>
  <c r="L11" i="5" s="1" a="1"/>
  <c r="L11" i="5" s="1"/>
  <c r="P10" i="5"/>
  <c r="O10" i="5"/>
  <c r="M10" i="5" a="1"/>
  <c r="M10" i="5" s="1"/>
  <c r="N10" i="5" s="1"/>
  <c r="J10" i="5"/>
  <c r="K10" i="5" s="1"/>
  <c r="P9" i="5"/>
  <c r="O9" i="5"/>
  <c r="M9" i="5" a="1"/>
  <c r="M9" i="5"/>
  <c r="N9" i="5" s="1"/>
  <c r="J9" i="5"/>
  <c r="T8" i="5"/>
  <c r="P8" i="5"/>
  <c r="O8" i="5"/>
  <c r="M8" i="5" a="1"/>
  <c r="M8" i="5"/>
  <c r="N8" i="5" s="1"/>
  <c r="J8" i="5"/>
  <c r="L8" i="5" s="1" a="1"/>
  <c r="L8" i="5" s="1"/>
  <c r="T7" i="5"/>
  <c r="P7" i="5"/>
  <c r="O7" i="5"/>
  <c r="M7" i="5" a="1"/>
  <c r="M7" i="5" s="1"/>
  <c r="N7" i="5" s="1"/>
  <c r="J7" i="5"/>
  <c r="T6" i="5"/>
  <c r="P6" i="5"/>
  <c r="O6" i="5"/>
  <c r="M6" i="5" a="1"/>
  <c r="M6" i="5" s="1"/>
  <c r="N6" i="5" s="1"/>
  <c r="J6" i="5"/>
  <c r="L6" i="5" s="1" a="1"/>
  <c r="L6" i="5" s="1"/>
  <c r="P5" i="5"/>
  <c r="O5" i="5"/>
  <c r="M5" i="5" a="1"/>
  <c r="M5" i="5" s="1"/>
  <c r="N5" i="5" s="1"/>
  <c r="J5" i="5"/>
  <c r="T4" i="5"/>
  <c r="P4" i="5"/>
  <c r="O4" i="5"/>
  <c r="M4" i="5" a="1"/>
  <c r="M4" i="5"/>
  <c r="N4" i="5" s="1"/>
  <c r="J4" i="5"/>
  <c r="T3" i="5"/>
  <c r="P3" i="5"/>
  <c r="O3" i="5"/>
  <c r="M3" i="5"/>
  <c r="N3" i="5" s="1"/>
  <c r="J3" i="5"/>
  <c r="K3" i="5" s="1"/>
  <c r="P2" i="5"/>
  <c r="O2" i="5"/>
  <c r="J2" i="5"/>
  <c r="K2" i="5" s="1"/>
  <c r="I203" i="4"/>
  <c r="H203" i="4"/>
  <c r="K201" i="4"/>
  <c r="J201" i="4"/>
  <c r="J200" i="4"/>
  <c r="K200" i="4" s="1"/>
  <c r="J199" i="4"/>
  <c r="K199" i="4" s="1"/>
  <c r="J198" i="4"/>
  <c r="K198" i="4" s="1"/>
  <c r="K197" i="4"/>
  <c r="J197" i="4"/>
  <c r="J196" i="4"/>
  <c r="K196" i="4" s="1"/>
  <c r="J195" i="4"/>
  <c r="K195" i="4" s="1"/>
  <c r="J194" i="4"/>
  <c r="K194" i="4" s="1"/>
  <c r="J193" i="4"/>
  <c r="K193" i="4" s="1"/>
  <c r="J192" i="4"/>
  <c r="K192" i="4" s="1"/>
  <c r="K191" i="4"/>
  <c r="J191" i="4"/>
  <c r="J190" i="4"/>
  <c r="K190" i="4" s="1"/>
  <c r="J189" i="4"/>
  <c r="K189" i="4" s="1"/>
  <c r="K188" i="4"/>
  <c r="J188" i="4"/>
  <c r="J187" i="4"/>
  <c r="K187" i="4" s="1"/>
  <c r="J186" i="4"/>
  <c r="K186" i="4" s="1"/>
  <c r="J185" i="4"/>
  <c r="K185" i="4" s="1"/>
  <c r="J184" i="4"/>
  <c r="K184" i="4" s="1"/>
  <c r="J183" i="4"/>
  <c r="K183" i="4" s="1"/>
  <c r="J182" i="4"/>
  <c r="K182" i="4" s="1"/>
  <c r="K181" i="4"/>
  <c r="J181" i="4"/>
  <c r="J180" i="4"/>
  <c r="K180" i="4" s="1"/>
  <c r="J179" i="4"/>
  <c r="K179" i="4" s="1"/>
  <c r="J178" i="4"/>
  <c r="K178" i="4" s="1"/>
  <c r="J177" i="4"/>
  <c r="K177" i="4" s="1"/>
  <c r="J176" i="4"/>
  <c r="K176" i="4" s="1"/>
  <c r="J175" i="4"/>
  <c r="K175" i="4" s="1"/>
  <c r="J174" i="4"/>
  <c r="K174" i="4" s="1"/>
  <c r="J173" i="4"/>
  <c r="K173" i="4" s="1"/>
  <c r="K172" i="4"/>
  <c r="J172" i="4"/>
  <c r="K171" i="4"/>
  <c r="J171" i="4"/>
  <c r="K170" i="4"/>
  <c r="J170" i="4"/>
  <c r="J169" i="4"/>
  <c r="K169" i="4" s="1"/>
  <c r="J168" i="4"/>
  <c r="K168" i="4" s="1"/>
  <c r="K167" i="4"/>
  <c r="J167" i="4"/>
  <c r="J166" i="4"/>
  <c r="K166" i="4" s="1"/>
  <c r="K165" i="4"/>
  <c r="J165" i="4"/>
  <c r="J164" i="4"/>
  <c r="K164" i="4" s="1"/>
  <c r="J163" i="4"/>
  <c r="K163" i="4" s="1"/>
  <c r="J162" i="4"/>
  <c r="K162" i="4" s="1"/>
  <c r="K161" i="4"/>
  <c r="J161" i="4"/>
  <c r="J160" i="4"/>
  <c r="K160" i="4" s="1"/>
  <c r="J159" i="4"/>
  <c r="K159" i="4" s="1"/>
  <c r="J158" i="4"/>
  <c r="K158" i="4" s="1"/>
  <c r="J157" i="4"/>
  <c r="K157" i="4" s="1"/>
  <c r="J156" i="4"/>
  <c r="K156" i="4" s="1"/>
  <c r="J155" i="4"/>
  <c r="K155" i="4" s="1"/>
  <c r="J154" i="4"/>
  <c r="K154" i="4" s="1"/>
  <c r="J153" i="4"/>
  <c r="K153" i="4" s="1"/>
  <c r="J152" i="4"/>
  <c r="K152" i="4" s="1"/>
  <c r="K151" i="4"/>
  <c r="J151" i="4"/>
  <c r="J150" i="4"/>
  <c r="K150" i="4" s="1"/>
  <c r="K149" i="4"/>
  <c r="J149" i="4"/>
  <c r="J148" i="4"/>
  <c r="K148" i="4" s="1"/>
  <c r="J147" i="4"/>
  <c r="K147" i="4" s="1"/>
  <c r="J146" i="4"/>
  <c r="K146" i="4" s="1"/>
  <c r="J145" i="4"/>
  <c r="K145" i="4" s="1"/>
  <c r="K144" i="4"/>
  <c r="J144" i="4"/>
  <c r="J143" i="4"/>
  <c r="K143" i="4" s="1"/>
  <c r="J142" i="4"/>
  <c r="K142" i="4" s="1"/>
  <c r="K141" i="4"/>
  <c r="J141" i="4"/>
  <c r="J140" i="4"/>
  <c r="K140" i="4" s="1"/>
  <c r="J139" i="4"/>
  <c r="K139" i="4" s="1"/>
  <c r="J138" i="4"/>
  <c r="K138" i="4" s="1"/>
  <c r="J137" i="4"/>
  <c r="K137" i="4" s="1"/>
  <c r="J136" i="4"/>
  <c r="K136" i="4" s="1"/>
  <c r="K135" i="4"/>
  <c r="J135" i="4"/>
  <c r="J134" i="4"/>
  <c r="K134" i="4" s="1"/>
  <c r="J133" i="4"/>
  <c r="K133" i="4" s="1"/>
  <c r="J132" i="4"/>
  <c r="K132" i="4" s="1"/>
  <c r="K131" i="4"/>
  <c r="J131" i="4"/>
  <c r="J130" i="4"/>
  <c r="K130" i="4" s="1"/>
  <c r="K129" i="4"/>
  <c r="J129" i="4"/>
  <c r="K128" i="4"/>
  <c r="J128" i="4"/>
  <c r="J127" i="4"/>
  <c r="K127" i="4" s="1"/>
  <c r="J126" i="4"/>
  <c r="K126" i="4" s="1"/>
  <c r="J125" i="4"/>
  <c r="K125" i="4" s="1"/>
  <c r="J124" i="4"/>
  <c r="K124" i="4" s="1"/>
  <c r="K123" i="4"/>
  <c r="J123" i="4"/>
  <c r="J122" i="4"/>
  <c r="K122" i="4" s="1"/>
  <c r="K121" i="4"/>
  <c r="J121" i="4"/>
  <c r="J120" i="4"/>
  <c r="K120" i="4" s="1"/>
  <c r="J119" i="4"/>
  <c r="K119" i="4" s="1"/>
  <c r="J118" i="4"/>
  <c r="K118" i="4" s="1"/>
  <c r="J117" i="4"/>
  <c r="K117" i="4" s="1"/>
  <c r="J116" i="4"/>
  <c r="K116" i="4" s="1"/>
  <c r="J115" i="4"/>
  <c r="K115" i="4" s="1"/>
  <c r="K114" i="4"/>
  <c r="J114" i="4"/>
  <c r="J113" i="4"/>
  <c r="K113" i="4" s="1"/>
  <c r="J112" i="4"/>
  <c r="K112" i="4" s="1"/>
  <c r="K111" i="4"/>
  <c r="J111" i="4"/>
  <c r="J110" i="4"/>
  <c r="K110" i="4" s="1"/>
  <c r="J109" i="4"/>
  <c r="K109" i="4" s="1"/>
  <c r="J108" i="4"/>
  <c r="K108" i="4" s="1"/>
  <c r="K107" i="4"/>
  <c r="J107" i="4"/>
  <c r="J106" i="4"/>
  <c r="K106" i="4" s="1"/>
  <c r="K105" i="4"/>
  <c r="J105" i="4"/>
  <c r="J104" i="4"/>
  <c r="K104" i="4" s="1"/>
  <c r="J103" i="4"/>
  <c r="K103" i="4" s="1"/>
  <c r="K102" i="4"/>
  <c r="J102" i="4"/>
  <c r="K101" i="4"/>
  <c r="J101" i="4"/>
  <c r="K100" i="4"/>
  <c r="J100" i="4"/>
  <c r="J99" i="4"/>
  <c r="K99" i="4" s="1"/>
  <c r="J98" i="4"/>
  <c r="K98" i="4" s="1"/>
  <c r="J97" i="4"/>
  <c r="K97" i="4" s="1"/>
  <c r="J96" i="4"/>
  <c r="K96" i="4" s="1"/>
  <c r="J95" i="4"/>
  <c r="K95" i="4" s="1"/>
  <c r="J94" i="4"/>
  <c r="K94" i="4" s="1"/>
  <c r="K93" i="4"/>
  <c r="J93" i="4"/>
  <c r="J92" i="4"/>
  <c r="K92" i="4" s="1"/>
  <c r="K91" i="4"/>
  <c r="J91" i="4"/>
  <c r="J90" i="4"/>
  <c r="K90" i="4" s="1"/>
  <c r="J89" i="4"/>
  <c r="K89" i="4" s="1"/>
  <c r="J88" i="4"/>
  <c r="K88" i="4" s="1"/>
  <c r="J87" i="4"/>
  <c r="K87" i="4" s="1"/>
  <c r="J86" i="4"/>
  <c r="K86" i="4" s="1"/>
  <c r="J85" i="4"/>
  <c r="K85" i="4" s="1"/>
  <c r="J84" i="4"/>
  <c r="K84" i="4" s="1"/>
  <c r="J83" i="4"/>
  <c r="K83" i="4" s="1"/>
  <c r="J82" i="4"/>
  <c r="K82" i="4" s="1"/>
  <c r="K81" i="4"/>
  <c r="J81" i="4"/>
  <c r="J80" i="4"/>
  <c r="K80" i="4" s="1"/>
  <c r="J79" i="4"/>
  <c r="K79" i="4" s="1"/>
  <c r="J78" i="4"/>
  <c r="K78" i="4" s="1"/>
  <c r="J77" i="4"/>
  <c r="K77" i="4" s="1"/>
  <c r="J76" i="4"/>
  <c r="K76" i="4" s="1"/>
  <c r="K75" i="4"/>
  <c r="J75" i="4"/>
  <c r="J74" i="4"/>
  <c r="K74" i="4" s="1"/>
  <c r="J73" i="4"/>
  <c r="K73" i="4" s="1"/>
  <c r="K72" i="4"/>
  <c r="J72" i="4"/>
  <c r="K71" i="4"/>
  <c r="J71" i="4"/>
  <c r="J70" i="4"/>
  <c r="K70" i="4" s="1"/>
  <c r="J69" i="4"/>
  <c r="K69" i="4" s="1"/>
  <c r="J68" i="4"/>
  <c r="K68" i="4" s="1"/>
  <c r="J67" i="4"/>
  <c r="K67" i="4" s="1"/>
  <c r="J66" i="4"/>
  <c r="K66" i="4" s="1"/>
  <c r="J65" i="4"/>
  <c r="K65" i="4" s="1"/>
  <c r="J64" i="4"/>
  <c r="K64" i="4" s="1"/>
  <c r="J63" i="4"/>
  <c r="K63" i="4" s="1"/>
  <c r="J62" i="4"/>
  <c r="K62" i="4" s="1"/>
  <c r="K61" i="4"/>
  <c r="J61" i="4"/>
  <c r="K60" i="4"/>
  <c r="J60" i="4"/>
  <c r="J59" i="4"/>
  <c r="K59" i="4" s="1"/>
  <c r="J58" i="4"/>
  <c r="K58" i="4" s="1"/>
  <c r="J57" i="4"/>
  <c r="K57" i="4" s="1"/>
  <c r="J56" i="4"/>
  <c r="K56" i="4" s="1"/>
  <c r="J55" i="4"/>
  <c r="K55" i="4" s="1"/>
  <c r="K54" i="4"/>
  <c r="J54" i="4"/>
  <c r="J53" i="4"/>
  <c r="K53" i="4" s="1"/>
  <c r="K52" i="4"/>
  <c r="J52" i="4"/>
  <c r="K51" i="4"/>
  <c r="J51" i="4"/>
  <c r="J50" i="4"/>
  <c r="K50" i="4" s="1"/>
  <c r="J49" i="4"/>
  <c r="K49" i="4" s="1"/>
  <c r="J48" i="4"/>
  <c r="K48" i="4" s="1"/>
  <c r="J47" i="4"/>
  <c r="K47" i="4" s="1"/>
  <c r="J46" i="4"/>
  <c r="K46" i="4" s="1"/>
  <c r="K45" i="4"/>
  <c r="J45" i="4"/>
  <c r="J44" i="4"/>
  <c r="K44" i="4" s="1"/>
  <c r="J43" i="4"/>
  <c r="K43" i="4" s="1"/>
  <c r="J42" i="4"/>
  <c r="K42" i="4" s="1"/>
  <c r="K41" i="4"/>
  <c r="J41" i="4"/>
  <c r="J40" i="4"/>
  <c r="K40" i="4" s="1"/>
  <c r="K39" i="4"/>
  <c r="J39" i="4"/>
  <c r="J38" i="4"/>
  <c r="K38" i="4" s="1"/>
  <c r="J37" i="4"/>
  <c r="K37" i="4" s="1"/>
  <c r="J36" i="4"/>
  <c r="K36" i="4" s="1"/>
  <c r="J35" i="4"/>
  <c r="K35" i="4" s="1"/>
  <c r="J34" i="4"/>
  <c r="K34" i="4" s="1"/>
  <c r="K33" i="4"/>
  <c r="J33" i="4"/>
  <c r="J32" i="4"/>
  <c r="K32" i="4" s="1"/>
  <c r="K31" i="4"/>
  <c r="J31" i="4"/>
  <c r="K30" i="4"/>
  <c r="J30" i="4"/>
  <c r="J29" i="4"/>
  <c r="K29" i="4" s="1"/>
  <c r="J28" i="4"/>
  <c r="K28" i="4" s="1"/>
  <c r="J27" i="4"/>
  <c r="K27" i="4" s="1"/>
  <c r="J26" i="4"/>
  <c r="K26" i="4" s="1"/>
  <c r="J25" i="4"/>
  <c r="K25" i="4" s="1"/>
  <c r="J24" i="4"/>
  <c r="K24" i="4" s="1"/>
  <c r="J23" i="4"/>
  <c r="K23" i="4" s="1"/>
  <c r="J22" i="4"/>
  <c r="K22" i="4" s="1"/>
  <c r="K21" i="4"/>
  <c r="J21" i="4"/>
  <c r="J20" i="4"/>
  <c r="K20" i="4" s="1"/>
  <c r="J19" i="4"/>
  <c r="K19" i="4" s="1"/>
  <c r="K18" i="4"/>
  <c r="J18" i="4"/>
  <c r="J17" i="4"/>
  <c r="K17" i="4" s="1"/>
  <c r="J16" i="4"/>
  <c r="K16" i="4" s="1"/>
  <c r="J15" i="4"/>
  <c r="K15" i="4" s="1"/>
  <c r="J14" i="4"/>
  <c r="K14" i="4" s="1"/>
  <c r="J13" i="4"/>
  <c r="K13" i="4" s="1"/>
  <c r="K12" i="4"/>
  <c r="J12" i="4"/>
  <c r="K11" i="4"/>
  <c r="J11" i="4"/>
  <c r="O10" i="4"/>
  <c r="J10" i="4"/>
  <c r="K10" i="4" s="1"/>
  <c r="O9" i="4"/>
  <c r="J9" i="4"/>
  <c r="K9" i="4" s="1"/>
  <c r="K8" i="4"/>
  <c r="J8" i="4"/>
  <c r="O7" i="4"/>
  <c r="J7" i="4"/>
  <c r="J203" i="4" s="1"/>
  <c r="O6" i="4"/>
  <c r="J6" i="4"/>
  <c r="K6" i="4" s="1"/>
  <c r="J5" i="4"/>
  <c r="K5" i="4" s="1"/>
  <c r="J4" i="4"/>
  <c r="K4" i="4" s="1"/>
  <c r="J3" i="4"/>
  <c r="K3" i="4" s="1"/>
  <c r="J2" i="4"/>
  <c r="K2" i="4" s="1"/>
  <c r="C6" i="2"/>
  <c r="C5" i="2"/>
  <c r="C4" i="2"/>
  <c r="C3" i="2"/>
  <c r="C2" i="2"/>
  <c r="B231" i="8"/>
  <c r="F22" i="8"/>
  <c r="B11" i="8"/>
  <c r="K62" i="7" l="1"/>
  <c r="L62" i="7" a="1"/>
  <c r="L62" i="7" s="1"/>
  <c r="K117" i="7"/>
  <c r="K163" i="7"/>
  <c r="K14" i="7"/>
  <c r="K33" i="7"/>
  <c r="L72" i="7" a="1"/>
  <c r="L72" i="7" s="1"/>
  <c r="K72" i="7"/>
  <c r="K6" i="7"/>
  <c r="K96" i="7"/>
  <c r="L196" i="7" a="1"/>
  <c r="L196" i="7" s="1"/>
  <c r="K196" i="7"/>
  <c r="K45" i="7"/>
  <c r="K75" i="7"/>
  <c r="K90" i="7"/>
  <c r="K139" i="7"/>
  <c r="L181" i="7" a="1"/>
  <c r="L181" i="7" s="1"/>
  <c r="K181" i="7"/>
  <c r="K190" i="7"/>
  <c r="K152" i="7"/>
  <c r="K31" i="7"/>
  <c r="L109" i="7" a="1"/>
  <c r="L109" i="7" s="1"/>
  <c r="K109" i="7"/>
  <c r="L172" i="7" a="1"/>
  <c r="L172" i="7" s="1"/>
  <c r="K172" i="7"/>
  <c r="L12" i="7" a="1"/>
  <c r="L12" i="7" s="1"/>
  <c r="K12" i="7"/>
  <c r="L57" i="7" a="1"/>
  <c r="L57" i="7" s="1"/>
  <c r="K57" i="7"/>
  <c r="L106" i="7" a="1"/>
  <c r="L106" i="7" s="1"/>
  <c r="K106" i="7"/>
  <c r="K112" i="7"/>
  <c r="L121" i="7" a="1"/>
  <c r="L121" i="7" s="1"/>
  <c r="K121" i="7"/>
  <c r="L127" i="7" a="1"/>
  <c r="L127" i="7" s="1"/>
  <c r="K127" i="7"/>
  <c r="K200" i="7"/>
  <c r="L200" i="7" a="1"/>
  <c r="L200" i="7" s="1"/>
  <c r="L4" i="7" a="1"/>
  <c r="L4" i="7" s="1"/>
  <c r="K4" i="7"/>
  <c r="L26" i="7" a="1"/>
  <c r="L26" i="7" s="1"/>
  <c r="K37" i="7"/>
  <c r="L52" i="7" a="1"/>
  <c r="L52" i="7" s="1"/>
  <c r="K52" i="7"/>
  <c r="L70" i="7" a="1"/>
  <c r="L70" i="7" s="1"/>
  <c r="K85" i="7"/>
  <c r="K61" i="7"/>
  <c r="K116" i="7"/>
  <c r="L128" i="7" a="1"/>
  <c r="L128" i="7" s="1"/>
  <c r="K128" i="7"/>
  <c r="K5" i="7"/>
  <c r="K101" i="7"/>
  <c r="K165" i="7"/>
  <c r="L177" i="7" a="1"/>
  <c r="L177" i="7" s="1"/>
  <c r="K177" i="7"/>
  <c r="K30" i="7"/>
  <c r="K92" i="7"/>
  <c r="L157" i="7" a="1"/>
  <c r="L157" i="7" s="1"/>
  <c r="K157" i="7"/>
  <c r="K7" i="7"/>
  <c r="L43" i="7" a="1"/>
  <c r="L43" i="7" s="1"/>
  <c r="K43" i="7"/>
  <c r="K79" i="7"/>
  <c r="K194" i="7"/>
  <c r="K18" i="7"/>
  <c r="K156" i="7"/>
  <c r="K170" i="7"/>
  <c r="K201" i="7"/>
  <c r="L2" i="7" a="1"/>
  <c r="L2" i="7" s="1"/>
  <c r="K2" i="7"/>
  <c r="L24" i="7" a="1"/>
  <c r="L24" i="7" s="1"/>
  <c r="K24" i="7"/>
  <c r="L73" i="7" a="1"/>
  <c r="L73" i="7" s="1"/>
  <c r="K73" i="7"/>
  <c r="L88" i="7" a="1"/>
  <c r="L88" i="7" s="1"/>
  <c r="K88" i="7"/>
  <c r="L148" i="7" a="1"/>
  <c r="L148" i="7" s="1"/>
  <c r="K148" i="7"/>
  <c r="K83" i="7"/>
  <c r="K161" i="7"/>
  <c r="K176" i="7"/>
  <c r="L189" i="7" a="1"/>
  <c r="L189" i="7" s="1"/>
  <c r="K189" i="7"/>
  <c r="L29" i="7" a="1"/>
  <c r="L29" i="7" s="1"/>
  <c r="K29" i="7"/>
  <c r="K68" i="7"/>
  <c r="K99" i="7"/>
  <c r="K143" i="7"/>
  <c r="L115" i="7" a="1"/>
  <c r="L115" i="7" s="1"/>
  <c r="K115" i="7"/>
  <c r="K130" i="7"/>
  <c r="K81" i="7"/>
  <c r="K125" i="7"/>
  <c r="L149" i="7" a="1"/>
  <c r="L149" i="7" s="1"/>
  <c r="K149" i="7"/>
  <c r="L42" i="7" a="1"/>
  <c r="L42" i="7" s="1"/>
  <c r="K42" i="7"/>
  <c r="L48" i="7" a="1"/>
  <c r="L48" i="7" s="1"/>
  <c r="K48" i="7"/>
  <c r="K64" i="7"/>
  <c r="K87" i="7"/>
  <c r="K134" i="7"/>
  <c r="K9" i="7"/>
  <c r="K16" i="7"/>
  <c r="K28" i="7"/>
  <c r="K95" i="7"/>
  <c r="K103" i="7"/>
  <c r="K150" i="7"/>
  <c r="K167" i="7"/>
  <c r="L199" i="7" a="1"/>
  <c r="L199" i="7" s="1"/>
  <c r="K199" i="7"/>
  <c r="K60" i="7"/>
  <c r="K104" i="7"/>
  <c r="K38" i="7"/>
  <c r="L40" i="7" a="1"/>
  <c r="L40" i="7" s="1"/>
  <c r="L93" i="7" a="1"/>
  <c r="L93" i="7" s="1"/>
  <c r="K102" i="7"/>
  <c r="K113" i="7"/>
  <c r="L135" i="7" a="1"/>
  <c r="L135" i="7" s="1"/>
  <c r="K146" i="7"/>
  <c r="K188" i="7"/>
  <c r="K197" i="7"/>
  <c r="L25" i="7" a="1"/>
  <c r="L25" i="7" s="1"/>
  <c r="K80" i="7"/>
  <c r="L82" i="7" a="1"/>
  <c r="L82" i="7" s="1"/>
  <c r="K91" i="7"/>
  <c r="K133" i="7"/>
  <c r="K144" i="7"/>
  <c r="L155" i="7" a="1"/>
  <c r="L155" i="7" s="1"/>
  <c r="K21" i="7"/>
  <c r="L23" i="7" a="1"/>
  <c r="L23" i="7" s="1"/>
  <c r="K49" i="7"/>
  <c r="K78" i="7"/>
  <c r="L100" i="7" a="1"/>
  <c r="L100" i="7" s="1"/>
  <c r="K122" i="7"/>
  <c r="K142" i="7"/>
  <c r="K153" i="7"/>
  <c r="L175" i="7" a="1"/>
  <c r="L175" i="7" s="1"/>
  <c r="K186" i="7"/>
  <c r="K195" i="7"/>
  <c r="K19" i="7"/>
  <c r="L36" i="7" a="1"/>
  <c r="L36" i="7" s="1"/>
  <c r="L69" i="7" a="1"/>
  <c r="L69" i="7" s="1"/>
  <c r="K69" i="7"/>
  <c r="K98" i="7"/>
  <c r="K111" i="7"/>
  <c r="K120" i="7"/>
  <c r="K131" i="7"/>
  <c r="K140" i="7"/>
  <c r="K173" i="7"/>
  <c r="K184" i="7"/>
  <c r="K27" i="7"/>
  <c r="K51" i="7"/>
  <c r="L168" i="7" a="1"/>
  <c r="L168" i="7" s="1"/>
  <c r="K168" i="7"/>
  <c r="K58" i="7"/>
  <c r="K71" i="7"/>
  <c r="T43" i="5"/>
  <c r="B2" i="6"/>
  <c r="B9" i="6"/>
  <c r="B6" i="6"/>
  <c r="B5" i="6"/>
  <c r="B4" i="6"/>
  <c r="B3" i="6"/>
  <c r="B7" i="6"/>
  <c r="B8" i="6"/>
  <c r="L193" i="5" a="1"/>
  <c r="L193" i="5" s="1"/>
  <c r="L73" i="5" a="1"/>
  <c r="L73" i="5" s="1"/>
  <c r="L13" i="5" a="1"/>
  <c r="L13" i="5" s="1"/>
  <c r="L53" i="5" a="1"/>
  <c r="L53" i="5" s="1"/>
  <c r="L148" i="5" a="1"/>
  <c r="L148" i="5" s="1"/>
  <c r="L190" i="5" a="1"/>
  <c r="L190" i="5" s="1"/>
  <c r="L99" i="5" a="1"/>
  <c r="L99" i="5" s="1"/>
  <c r="L194" i="5" a="1"/>
  <c r="L194" i="5" s="1"/>
  <c r="K102" i="5"/>
  <c r="L201" i="5" a="1"/>
  <c r="L201" i="5" s="1"/>
  <c r="L32" i="5" a="1"/>
  <c r="L32" i="5" s="1"/>
  <c r="L145" i="5" a="1"/>
  <c r="L145" i="5" s="1"/>
  <c r="L133" i="5" a="1"/>
  <c r="L133" i="5" s="1"/>
  <c r="L3" i="5" a="1"/>
  <c r="L3" i="5" s="1"/>
  <c r="T10" i="5"/>
  <c r="L183" i="5" a="1"/>
  <c r="L183" i="5" s="1"/>
  <c r="L63" i="5" a="1"/>
  <c r="L63" i="5" s="1"/>
  <c r="L88" i="5" a="1"/>
  <c r="L88" i="5" s="1"/>
  <c r="L180" i="5" a="1"/>
  <c r="L180" i="5" s="1"/>
  <c r="L19" i="5" a="1"/>
  <c r="L19" i="5" s="1"/>
  <c r="L105" i="5" a="1"/>
  <c r="L105" i="5" s="1"/>
  <c r="L130" i="5" a="1"/>
  <c r="L130" i="5" s="1"/>
  <c r="L5" i="5" a="1"/>
  <c r="L5" i="5" s="1"/>
  <c r="K5" i="5"/>
  <c r="K12" i="5"/>
  <c r="L65" i="5" a="1"/>
  <c r="L65" i="5" s="1"/>
  <c r="K94" i="5"/>
  <c r="K109" i="5"/>
  <c r="L109" i="5" a="1"/>
  <c r="L109" i="5" s="1"/>
  <c r="K168" i="5"/>
  <c r="L36" i="5" a="1"/>
  <c r="L36" i="5" s="1"/>
  <c r="K121" i="5"/>
  <c r="K129" i="5"/>
  <c r="K198" i="5"/>
  <c r="K29" i="5"/>
  <c r="L4" i="5" a="1"/>
  <c r="L4" i="5" s="1"/>
  <c r="K4" i="5"/>
  <c r="K64" i="5"/>
  <c r="L64" i="5" a="1"/>
  <c r="L64" i="5" s="1"/>
  <c r="K141" i="5"/>
  <c r="L33" i="5" a="1"/>
  <c r="L33" i="5" s="1"/>
  <c r="K33" i="5"/>
  <c r="K61" i="5"/>
  <c r="L22" i="5" a="1"/>
  <c r="L22" i="5" s="1"/>
  <c r="K45" i="5"/>
  <c r="L45" i="5" a="1"/>
  <c r="L45" i="5" s="1"/>
  <c r="K114" i="5"/>
  <c r="K161" i="5"/>
  <c r="K84" i="5"/>
  <c r="L84" i="5" a="1"/>
  <c r="L84" i="5" s="1"/>
  <c r="K166" i="5"/>
  <c r="L34" i="5" a="1"/>
  <c r="L34" i="5" s="1"/>
  <c r="K34" i="5"/>
  <c r="L115" i="5" a="1"/>
  <c r="L115" i="5" s="1"/>
  <c r="K119" i="5"/>
  <c r="L181" i="5" a="1"/>
  <c r="L181" i="5" s="1"/>
  <c r="K181" i="5"/>
  <c r="L185" i="5" a="1"/>
  <c r="L185" i="5" s="1"/>
  <c r="K200" i="5"/>
  <c r="L62" i="5" a="1"/>
  <c r="L62" i="5" s="1"/>
  <c r="K154" i="5"/>
  <c r="L177" i="5" a="1"/>
  <c r="L177" i="5" s="1"/>
  <c r="K85" i="5"/>
  <c r="L85" i="5" a="1"/>
  <c r="L85" i="5" s="1"/>
  <c r="K108" i="5"/>
  <c r="L108" i="5" a="1"/>
  <c r="L108" i="5" s="1"/>
  <c r="K128" i="5"/>
  <c r="K174" i="5"/>
  <c r="L43" i="5" a="1"/>
  <c r="L43" i="5" s="1"/>
  <c r="K101" i="5"/>
  <c r="K6" i="5"/>
  <c r="L151" i="5" a="1"/>
  <c r="L151" i="5" s="1"/>
  <c r="K135" i="5"/>
  <c r="K155" i="5"/>
  <c r="L155" i="5" a="1"/>
  <c r="L155" i="5" s="1"/>
  <c r="L171" i="5" a="1"/>
  <c r="L171" i="5" s="1"/>
  <c r="L189" i="5" a="1"/>
  <c r="L189" i="5" s="1"/>
  <c r="K8" i="5"/>
  <c r="L18" i="5" a="1"/>
  <c r="L18" i="5" s="1"/>
  <c r="K28" i="5"/>
  <c r="L42" i="5" a="1"/>
  <c r="L42" i="5" s="1"/>
  <c r="L82" i="5" a="1"/>
  <c r="L82" i="5" s="1"/>
  <c r="K173" i="5"/>
  <c r="L182" i="5" a="1"/>
  <c r="L182" i="5" s="1"/>
  <c r="L192" i="5" a="1"/>
  <c r="L192" i="5" s="1"/>
  <c r="L79" i="5" a="1"/>
  <c r="L79" i="5" s="1"/>
  <c r="K153" i="5"/>
  <c r="L89" i="5" a="1"/>
  <c r="L89" i="5" s="1"/>
  <c r="K93" i="5"/>
  <c r="K113" i="5"/>
  <c r="K123" i="5"/>
  <c r="K160" i="5"/>
  <c r="K66" i="5"/>
  <c r="L103" i="5" a="1"/>
  <c r="L103" i="5" s="1"/>
  <c r="L150" i="5" a="1"/>
  <c r="L150" i="5" s="1"/>
  <c r="L140" i="5" a="1"/>
  <c r="L140" i="5" s="1"/>
  <c r="K51" i="5"/>
  <c r="K54" i="5"/>
  <c r="K71" i="5"/>
  <c r="K81" i="5"/>
  <c r="K134" i="5"/>
  <c r="L165" i="5" a="1"/>
  <c r="L165" i="5" s="1"/>
  <c r="K188" i="5"/>
  <c r="K41" i="5"/>
  <c r="L131" i="5" a="1"/>
  <c r="L131" i="5" s="1"/>
  <c r="K138" i="5"/>
  <c r="T41" i="5"/>
  <c r="L20" i="5" a="1"/>
  <c r="L20" i="5" s="1"/>
  <c r="K74" i="5"/>
  <c r="K78" i="5"/>
  <c r="L125" i="5" a="1"/>
  <c r="L125" i="5" s="1"/>
  <c r="D4" i="2"/>
  <c r="T17" i="5"/>
  <c r="K55" i="5"/>
  <c r="K35" i="5"/>
  <c r="L24" i="5" a="1"/>
  <c r="L24" i="5" s="1"/>
  <c r="K67" i="5"/>
  <c r="K169" i="5"/>
  <c r="D2" i="2"/>
  <c r="K11" i="5"/>
  <c r="K30" i="5"/>
  <c r="L76" i="5" a="1"/>
  <c r="L76" i="5" s="1"/>
  <c r="K100" i="5"/>
  <c r="L117" i="5" a="1"/>
  <c r="L117" i="5" s="1"/>
  <c r="L157" i="5" a="1"/>
  <c r="L157" i="5" s="1"/>
  <c r="K157" i="5"/>
  <c r="D3" i="2"/>
  <c r="L59" i="5" a="1"/>
  <c r="L59" i="5" s="1"/>
  <c r="K59" i="5"/>
  <c r="K97" i="5"/>
  <c r="K143" i="5"/>
  <c r="K149" i="5"/>
  <c r="L191" i="5" a="1"/>
  <c r="L191" i="5" s="1"/>
  <c r="K39" i="5"/>
  <c r="K48" i="5"/>
  <c r="K186" i="5"/>
  <c r="K14" i="5"/>
  <c r="L56" i="5" a="1"/>
  <c r="L56" i="5" s="1"/>
  <c r="K91" i="5"/>
  <c r="K106" i="5"/>
  <c r="L112" i="5" a="1"/>
  <c r="L112" i="5" s="1"/>
  <c r="L132" i="5" a="1"/>
  <c r="L132" i="5" s="1"/>
  <c r="K152" i="5"/>
  <c r="L152" i="5" a="1"/>
  <c r="L152" i="5" s="1"/>
  <c r="L197" i="5" a="1"/>
  <c r="L197" i="5" s="1"/>
  <c r="K16" i="5"/>
  <c r="K50" i="5"/>
  <c r="K70" i="5"/>
  <c r="L196" i="5" a="1"/>
  <c r="L196" i="5" s="1"/>
  <c r="K90" i="5"/>
  <c r="D5" i="2"/>
  <c r="K127" i="5"/>
  <c r="D6" i="2"/>
  <c r="L2" i="5" a="1"/>
  <c r="L2" i="5" s="1"/>
  <c r="L104" i="5" a="1"/>
  <c r="L104" i="5" s="1"/>
  <c r="L57" i="5" a="1"/>
  <c r="L57" i="5" s="1"/>
  <c r="K179" i="5"/>
  <c r="L72" i="5" a="1"/>
  <c r="L72" i="5" s="1"/>
  <c r="K122" i="5"/>
  <c r="L139" i="5" a="1"/>
  <c r="L139" i="5" s="1"/>
  <c r="L159" i="5" a="1"/>
  <c r="L159" i="5" s="1"/>
  <c r="L176" i="5" a="1"/>
  <c r="L176" i="5" s="1"/>
  <c r="L75" i="5" a="1"/>
  <c r="L75" i="5" s="1"/>
  <c r="K75" i="5"/>
  <c r="L199" i="5" a="1"/>
  <c r="L199" i="5" s="1"/>
  <c r="K199" i="5"/>
  <c r="K47" i="5"/>
  <c r="L111" i="5" a="1"/>
  <c r="L111" i="5" s="1"/>
  <c r="K111" i="5"/>
  <c r="K87" i="5"/>
  <c r="K137" i="5"/>
  <c r="L163" i="5" a="1"/>
  <c r="L163" i="5" s="1"/>
  <c r="K163" i="5"/>
  <c r="L17" i="5" a="1"/>
  <c r="L17" i="5" s="1"/>
  <c r="K77" i="5"/>
  <c r="K40" i="5"/>
  <c r="L98" i="5" a="1"/>
  <c r="L98" i="5" s="1"/>
  <c r="K98" i="5"/>
  <c r="K184" i="5"/>
  <c r="L184" i="5" a="1"/>
  <c r="L184" i="5" s="1"/>
  <c r="K107" i="5"/>
  <c r="L195" i="5" a="1"/>
  <c r="L195" i="5" s="1"/>
  <c r="K195" i="5"/>
  <c r="K23" i="5"/>
  <c r="K86" i="5"/>
  <c r="L110" i="5" a="1"/>
  <c r="L110" i="5" s="1"/>
  <c r="K110" i="5"/>
  <c r="L52" i="5" a="1"/>
  <c r="L52" i="5" s="1"/>
  <c r="K142" i="5"/>
  <c r="K7" i="4"/>
  <c r="L120" i="5" a="1"/>
  <c r="L120" i="5" s="1"/>
  <c r="K120" i="5"/>
  <c r="L126" i="5" a="1"/>
  <c r="L126" i="5" s="1"/>
  <c r="K126" i="5"/>
  <c r="L68" i="5" a="1"/>
  <c r="L68" i="5" s="1"/>
  <c r="K68" i="5"/>
  <c r="K9" i="5"/>
  <c r="L9" i="5" a="1"/>
  <c r="L9" i="5" s="1"/>
  <c r="K158" i="5"/>
  <c r="L167" i="5" a="1"/>
  <c r="L167" i="5" s="1"/>
  <c r="K167" i="5"/>
  <c r="K175" i="5"/>
  <c r="L25" i="5" a="1"/>
  <c r="L25" i="5" s="1"/>
  <c r="L164" i="5" a="1"/>
  <c r="L164" i="5" s="1"/>
  <c r="O8" i="4"/>
  <c r="K60" i="5"/>
  <c r="K80" i="5"/>
  <c r="L31" i="5" a="1"/>
  <c r="L31" i="5" s="1"/>
  <c r="L124" i="5" a="1"/>
  <c r="L124" i="5" s="1"/>
  <c r="L170" i="5" a="1"/>
  <c r="L170" i="5" s="1"/>
  <c r="K7" i="5"/>
  <c r="L7" i="5" a="1"/>
  <c r="L7" i="5" s="1"/>
  <c r="K15" i="5"/>
  <c r="K49" i="5"/>
  <c r="L69" i="5" a="1"/>
  <c r="L69" i="5" s="1"/>
  <c r="K69" i="5"/>
  <c r="L83" i="5" a="1"/>
  <c r="L83" i="5" s="1"/>
  <c r="K83" i="5"/>
  <c r="L92" i="5" a="1"/>
  <c r="L92" i="5" s="1"/>
  <c r="L144" i="5" a="1"/>
  <c r="L144" i="5" s="1"/>
  <c r="K147" i="5"/>
  <c r="K37" i="5"/>
  <c r="L10" i="5" a="1"/>
  <c r="L10" i="5" s="1"/>
  <c r="K96" i="5"/>
  <c r="L96" i="5" a="1"/>
  <c r="L96" i="5" s="1"/>
  <c r="L156" i="5" a="1"/>
  <c r="L156" i="5" s="1"/>
  <c r="L162" i="5" a="1"/>
  <c r="L162" i="5" s="1"/>
  <c r="K162" i="5"/>
  <c r="K46" i="5"/>
  <c r="K118" i="5"/>
  <c r="K27" i="5"/>
  <c r="L116" i="5" a="1"/>
  <c r="L116" i="5" s="1"/>
  <c r="K146" i="5"/>
  <c r="K178" i="5"/>
  <c r="L44" i="5" a="1"/>
  <c r="L44" i="5" s="1"/>
  <c r="L136" i="5" a="1"/>
  <c r="L136" i="5" s="1"/>
  <c r="K95" i="5"/>
  <c r="K38" i="5"/>
  <c r="L21" i="5" a="1"/>
  <c r="L21" i="5" s="1"/>
  <c r="K26" i="5"/>
  <c r="K58" i="5"/>
  <c r="L172" i="5" a="1"/>
  <c r="L172" i="5" s="1"/>
  <c r="K187" i="5"/>
  <c r="T44" i="5" l="1" a="1"/>
  <c r="T44"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<sst xmlns="http://schemas.openxmlformats.org/spreadsheetml/2006/main" count="5281" uniqueCount="236">
  <si>
    <t>OrderID</t>
  </si>
  <si>
    <t>OrderDate</t>
  </si>
  <si>
    <t>Region</t>
  </si>
  <si>
    <t>Category</t>
  </si>
  <si>
    <t>Product</t>
  </si>
  <si>
    <t>CustomerName</t>
  </si>
  <si>
    <t>SalesPerson</t>
  </si>
  <si>
    <t>Sales</t>
  </si>
  <si>
    <t>Cost</t>
  </si>
  <si>
    <t>West</t>
  </si>
  <si>
    <t>Furniture</t>
  </si>
  <si>
    <t>Table</t>
  </si>
  <si>
    <t>Customer_16</t>
  </si>
  <si>
    <t>Sneha</t>
  </si>
  <si>
    <t>North</t>
  </si>
  <si>
    <t>Desk</t>
  </si>
  <si>
    <t>Customer_19</t>
  </si>
  <si>
    <t>South</t>
  </si>
  <si>
    <t>Electronics</t>
  </si>
  <si>
    <t>Mobile</t>
  </si>
  <si>
    <t>Customer_45</t>
  </si>
  <si>
    <t>Chair</t>
  </si>
  <si>
    <t>Customer_30</t>
  </si>
  <si>
    <t>Farhan</t>
  </si>
  <si>
    <t>Customer_40</t>
  </si>
  <si>
    <t>Customer_34</t>
  </si>
  <si>
    <t>Laptop</t>
  </si>
  <si>
    <t>Customer_14</t>
  </si>
  <si>
    <t>Aisha</t>
  </si>
  <si>
    <t>Headphones</t>
  </si>
  <si>
    <t>Customer_1</t>
  </si>
  <si>
    <t>Customer_49</t>
  </si>
  <si>
    <t>Tablet</t>
  </si>
  <si>
    <t>Rahul</t>
  </si>
  <si>
    <t>Customer_39</t>
  </si>
  <si>
    <t>Nikhil</t>
  </si>
  <si>
    <t>Customer_23</t>
  </si>
  <si>
    <t>East</t>
  </si>
  <si>
    <t>Customer_38</t>
  </si>
  <si>
    <t>Customer_5</t>
  </si>
  <si>
    <t>Customer_4</t>
  </si>
  <si>
    <t>Customer_10</t>
  </si>
  <si>
    <t>Cupboard</t>
  </si>
  <si>
    <t>Customer_22</t>
  </si>
  <si>
    <t>Customer_25</t>
  </si>
  <si>
    <t>Customer_31</t>
  </si>
  <si>
    <t>Customer_3</t>
  </si>
  <si>
    <t>Customer_8</t>
  </si>
  <si>
    <t>Customer_18</t>
  </si>
  <si>
    <t>Customer_12</t>
  </si>
  <si>
    <t>Customer_13</t>
  </si>
  <si>
    <t>Customer_15</t>
  </si>
  <si>
    <t>Customer_32</t>
  </si>
  <si>
    <t>Customer_28</t>
  </si>
  <si>
    <t>Customer_37</t>
  </si>
  <si>
    <t>Customer_50</t>
  </si>
  <si>
    <t>Customer_46</t>
  </si>
  <si>
    <t>Customer_9</t>
  </si>
  <si>
    <t>Customer_21</t>
  </si>
  <si>
    <t>Customer_7</t>
  </si>
  <si>
    <t>Customer_6</t>
  </si>
  <si>
    <t>Customer_47</t>
  </si>
  <si>
    <t>Customer_27</t>
  </si>
  <si>
    <t>Customer_44</t>
  </si>
  <si>
    <t>Customer_24</t>
  </si>
  <si>
    <t>Customer_2</t>
  </si>
  <si>
    <t>Customer_29</t>
  </si>
  <si>
    <t>Customer_11</t>
  </si>
  <si>
    <t>Customer_26</t>
  </si>
  <si>
    <t>Customer_43</t>
  </si>
  <si>
    <t>Customer_17</t>
  </si>
  <si>
    <t>Customer_20</t>
  </si>
  <si>
    <t>Customer_42</t>
  </si>
  <si>
    <t>Customer_48</t>
  </si>
  <si>
    <t>Customer_35</t>
  </si>
  <si>
    <t>Customer_33</t>
  </si>
  <si>
    <t>Customer_36</t>
  </si>
  <si>
    <t>Customer_41</t>
  </si>
  <si>
    <t>Name</t>
  </si>
  <si>
    <t>Salary</t>
  </si>
  <si>
    <t>Excel Data Analytics – Practical Assignment 1</t>
  </si>
  <si>
    <t xml:space="preserve"> Section A – Data Cleaning</t>
  </si>
  <si>
    <t>1. Format OrderDate as Date format.</t>
  </si>
  <si>
    <t>2. Remove duplicate records (if any).</t>
  </si>
  <si>
    <t>3. Remove extra spaces in text fields.</t>
  </si>
  <si>
    <t>4. Convert the dataset into an Excel Table (Ctrl + T).</t>
  </si>
  <si>
    <t>Home-&gt;Numbers-&gt;Custom-dd-mm-yy</t>
  </si>
  <si>
    <t>No Duplicates found</t>
  </si>
  <si>
    <t>No Extra Space</t>
  </si>
  <si>
    <t>Answers</t>
  </si>
  <si>
    <t>Ctrl + t</t>
  </si>
  <si>
    <t xml:space="preserve"> Section B – Basic Calculations</t>
  </si>
  <si>
    <t>5. Add Profit = Sales – Cost column.</t>
  </si>
  <si>
    <t>6. Add Profit % column.</t>
  </si>
  <si>
    <t>7. Calculate:</t>
  </si>
  <si>
    <t>• Total Sales</t>
  </si>
  <si>
    <t>• Total Cost</t>
  </si>
  <si>
    <t>• Total Profit</t>
  </si>
  <si>
    <t>• Total Orders</t>
  </si>
  <si>
    <t>8. Calculate Average Sales per order.</t>
  </si>
  <si>
    <t>Profit</t>
  </si>
  <si>
    <t>Profit %</t>
  </si>
  <si>
    <t>Formula (Profit/Sales) (=J2/H2) and Number -&gt; % )</t>
  </si>
  <si>
    <t>Formula(Sales-Cost)  (=H2-I2)</t>
  </si>
  <si>
    <t>Total</t>
  </si>
  <si>
    <t>Formula(Sum of Sales) (=subtotal(9,H2:H201)</t>
  </si>
  <si>
    <t>Formula(Sum of Cost) (=subtotal(9,I2:I201)</t>
  </si>
  <si>
    <t>Formula(Sum of Profit) (=subtotal(9,J2:J201)</t>
  </si>
  <si>
    <t>Formula(count of orders) (=count(A2:A201)</t>
  </si>
  <si>
    <t>Formula(avg Sales) (=count(H2:H201)</t>
  </si>
  <si>
    <t>Section C – Functions Practice</t>
  </si>
  <si>
    <t>9. Count orders from North region.</t>
  </si>
  <si>
    <t>10.Count Electronics category orders.</t>
  </si>
  <si>
    <t>11.Find Maximum, Minimum, and Average sales.</t>
  </si>
  <si>
    <t>12.Use IF/IFS:</t>
  </si>
  <si>
    <t>• Profit &gt; 15000 ? Excellent</t>
  </si>
  <si>
    <t>• 5000–15000 ? Good</t>
  </si>
  <si>
    <t>• Else ? Poor</t>
  </si>
  <si>
    <t>Formula</t>
  </si>
  <si>
    <t>Formula(=Countif(C2:C201,"North"))</t>
  </si>
  <si>
    <t>Formula(=Countif(D2:D201,"Electronics"))</t>
  </si>
  <si>
    <t>Max</t>
  </si>
  <si>
    <t>Min</t>
  </si>
  <si>
    <t>Avg</t>
  </si>
  <si>
    <t>avg(H2:H201)</t>
  </si>
  <si>
    <t>Max(H2:H201)</t>
  </si>
  <si>
    <t>Min(H2:H201)</t>
  </si>
  <si>
    <t>Result</t>
  </si>
  <si>
    <t>Ifs(J2 &gt; 15000, "Excellent" , J2 &gt; =5000 , "Good", J2 &lt; 5000,"Poor")</t>
  </si>
  <si>
    <t>Profit_performance</t>
  </si>
  <si>
    <t>Section D – Lookup &amp; Logical</t>
  </si>
  <si>
    <t>13.Fetch Salary from Employee_Salary sheet using VLOOKUP/XLOOKUP.</t>
  </si>
  <si>
    <t>14.Calculate Salary-to-Sales ratio.</t>
  </si>
  <si>
    <t>15.Calculate Commission:</t>
  </si>
  <si>
    <t>• Electronics ? 5%</t>
  </si>
  <si>
    <t>• Furniture ? 8%</t>
  </si>
  <si>
    <t>16.Rank SalesPerson based on total sales (highest = 1).</t>
  </si>
  <si>
    <t>VLOOKUP(G2, ' Employee_Salary'!$A$2:$B$6, 2, FALSE)     XLOOKUP(SalesPerson, Employee_Salary!$A$2:$A$6, Employee_Salary!$B$2:$B$6)</t>
  </si>
  <si>
    <t>Sales_ratio</t>
  </si>
  <si>
    <t>Salary/Sales ( M2/H2)</t>
  </si>
  <si>
    <t>Comission</t>
  </si>
  <si>
    <t>IF(D2="Electronics", H2*5%, IF(D2="Furniture", H2*8%, 0))</t>
  </si>
  <si>
    <t>Rank</t>
  </si>
  <si>
    <t>RANK.EQ(H2,$H$2:$H$201,0)</t>
  </si>
  <si>
    <t>Total_Sales</t>
  </si>
  <si>
    <t>Done Total Sales and Rank in Employee _ Salary Sheet</t>
  </si>
  <si>
    <t xml:space="preserve">Section E – Advanced Formulas </t>
  </si>
  <si>
    <t xml:space="preserve">17. Create Running Total (Cumulative Sales) by date. </t>
  </si>
  <si>
    <t xml:space="preserve">18. Find Unique Customer count. </t>
  </si>
  <si>
    <t xml:space="preserve">19. Identify Top 3 sales orders. </t>
  </si>
  <si>
    <t xml:space="preserve">20. Identify Bottom 2 sales orders. </t>
  </si>
  <si>
    <t xml:space="preserve">21. Use SUMIFS to calculate: </t>
  </si>
  <si>
    <t xml:space="preserve">• Electronics sales in North region </t>
  </si>
  <si>
    <t xml:space="preserve">• Furniture sales in South region </t>
  </si>
  <si>
    <t>• Sales for a selected SalesPerson</t>
  </si>
  <si>
    <t>Running_total</t>
  </si>
  <si>
    <t>SUMIFS($H$2:$H$201,$B$2:$B$201,"&lt;="&amp;B2)</t>
  </si>
  <si>
    <t>COUNTA(UNIQUE(F2:F201))</t>
  </si>
  <si>
    <t>XLOOKUP(LARGE(H3:H201,2),H3:H201,A3:A201)</t>
  </si>
  <si>
    <t>XLOOKUP(LARGE(H4:H201,3),H4:H201,A4:A201)</t>
  </si>
  <si>
    <t>XLOOKUP(LARGE(H2:H201,1),H2:H201,A2:A201) (Order ID) result</t>
  </si>
  <si>
    <t>XLOOKUP(SMALL(H2:H201,1),H2:H201,A2:A201) (Order ID) result</t>
  </si>
  <si>
    <t>XLOOKUP(SMALL(H3:H201,1),H3:H201,A3:A201) (Order ID) result</t>
  </si>
  <si>
    <t>SUMIFS(H2:H201,D2:D201,"Electronics",C2:C201,"North")</t>
  </si>
  <si>
    <t>SUMIFS(H2:H201,D2:D201,"Furniture",C2:C201,"South")</t>
  </si>
  <si>
    <t>SUMIFS(H2:H201,G2:G201,G36)</t>
  </si>
  <si>
    <t xml:space="preserve">Section F – Analysis Tasks </t>
  </si>
  <si>
    <t xml:space="preserve">22. Highlight orders with negative profit using Conditional Formatting. </t>
  </si>
  <si>
    <t xml:space="preserve">23. Find: </t>
  </si>
  <si>
    <t xml:space="preserve">• Best performing SalesPerson </t>
  </si>
  <si>
    <t xml:space="preserve">• Top Product by revenue </t>
  </si>
  <si>
    <t>• Lowest sales day</t>
  </si>
  <si>
    <t>J2&lt;0</t>
  </si>
  <si>
    <t>XLOOKUP(MAX(' Employee_Salary'!C1:C6),' Employee_Salary'!C1:C6,' Employee_Salary'!A1:A6)</t>
  </si>
  <si>
    <t>Total revenue</t>
  </si>
  <si>
    <t>XLOOKUP(MAX(Product!B1:B9),Product!B1:B9,Product!A1#)</t>
  </si>
  <si>
    <t>XLOOKUP(MIN(H2:H201),H2:H201,B2:B201)</t>
  </si>
  <si>
    <t xml:space="preserve">Section G – Pivot Tables </t>
  </si>
  <si>
    <t xml:space="preserve">24. Create Pivot ? Region vs Total Sales. </t>
  </si>
  <si>
    <t xml:space="preserve">25. Create Pivot ? Product vs Profit. </t>
  </si>
  <si>
    <t xml:space="preserve">26. Create Pivot ? SalesPerson vs Sales. </t>
  </si>
  <si>
    <t xml:space="preserve">27. Create Monthly sales summary using Pivot. </t>
  </si>
  <si>
    <t>28. Show % of Grand Total in Pivot.</t>
  </si>
  <si>
    <t>Row Labels</t>
  </si>
  <si>
    <t>Grand Total</t>
  </si>
  <si>
    <t>Sum of Sales</t>
  </si>
  <si>
    <t>Sum of Profit</t>
  </si>
  <si>
    <t>Jan</t>
  </si>
  <si>
    <t>Feb</t>
  </si>
  <si>
    <t>Mar</t>
  </si>
  <si>
    <t>Region VS Total sales</t>
  </si>
  <si>
    <t>Product Vs Profit</t>
  </si>
  <si>
    <t>Salesman vs sales</t>
  </si>
  <si>
    <t>Monthly sales Summary</t>
  </si>
  <si>
    <t>% Grand Total</t>
  </si>
  <si>
    <t xml:space="preserve">Section H – Charts </t>
  </si>
  <si>
    <t xml:space="preserve">29. Column chart ? Region vs Sales. </t>
  </si>
  <si>
    <t xml:space="preserve">30. Pie chart ? Category share. </t>
  </si>
  <si>
    <t xml:space="preserve">31. Line chart ? Daily sales trend. </t>
  </si>
  <si>
    <t xml:space="preserve">32. Bar chart ? SalesPerson ranking. </t>
  </si>
  <si>
    <t>Column Chart Region vs Sales</t>
  </si>
  <si>
    <t>Pie chart Categiry Share</t>
  </si>
  <si>
    <t>Line chartDaily Sales Trend</t>
  </si>
  <si>
    <t>Bar chart Sales person ranking</t>
  </si>
  <si>
    <t>Count of CustomerName</t>
  </si>
  <si>
    <t>1. West Region Has the Highest Sales</t>
  </si>
  <si>
    <t>Recommendation: Focus more on the North region by offering discounts or running marketing campaigns to increase sales.</t>
  </si>
  <si>
    <t>2. Aisha is the Best SalesPerson</t>
  </si>
  <si>
    <t>Recommendation: Learn from Aisha's sales methods and help other salespeople improve their performance.</t>
  </si>
  <si>
    <t>3. Furniture Sells Slightly More Than Electronics</t>
  </si>
  <si>
    <t>Furniture contributes 51% of total sales, while Electronics contributes 49%.</t>
  </si>
  <si>
    <t>Recommendation: Continue promoting Furniture and also run offers for Electronics to increase its sales.</t>
  </si>
  <si>
    <t>4. The Business is Making Good Profit</t>
  </si>
  <si>
    <t>The company earned 3.24M in total sales and 788.1K in total profit from 200 orders.</t>
  </si>
  <si>
    <t>Recommendation: Increase the number of orders while maintaining good profit.</t>
  </si>
  <si>
    <t>5. Sales Are Good in All Regions</t>
  </si>
  <si>
    <t>All four regions have good sales, but the West and South perform better than the North.</t>
  </si>
  <si>
    <t>Recommendation: Improve sales in the North region through better promotions and customer offers.</t>
  </si>
  <si>
    <t>The West region has the highest sales (881,864). The North region has the lowest sales (698385)</t>
  </si>
  <si>
    <t>Aisha has the highest sales (750452) among all salespeople. She is the best performer.</t>
  </si>
  <si>
    <t>Good thing that furniture has more sales</t>
  </si>
  <si>
    <t>Recommendation: provide some good discount to other electronics products also</t>
  </si>
  <si>
    <t>6. Desk product is the highest (116163) product got more sales</t>
  </si>
  <si>
    <t xml:space="preserve">Section I – Dashboard (Main Project) </t>
  </si>
  <si>
    <t xml:space="preserve">33. Create KPI cards: </t>
  </si>
  <si>
    <t xml:space="preserve">• Total Sales </t>
  </si>
  <si>
    <t xml:space="preserve">• Total Profit </t>
  </si>
  <si>
    <t xml:space="preserve">• Total Orders </t>
  </si>
  <si>
    <t xml:space="preserve">• Best SalesPerson </t>
  </si>
  <si>
    <t xml:space="preserve">34. Add Slicers: </t>
  </si>
  <si>
    <t xml:space="preserve">• Region </t>
  </si>
  <si>
    <t xml:space="preserve">• Category </t>
  </si>
  <si>
    <t xml:space="preserve">• SalesPerson </t>
  </si>
  <si>
    <t xml:space="preserve">35. Use GETPIVOTDATA to display KPI values. </t>
  </si>
  <si>
    <t xml:space="preserve">36. Design one interactive dashboard sheet with all charts and KPIs. </t>
  </si>
  <si>
    <t>37. Make the dashboard auto-update when data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</si>
</sst>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0.0%"/>
    <numFmt numFmtId="172" formatCode="0.00,,&quot;M&quot;"/>
    <numFmt numFmtId="173" formatCode="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4"/>
      <color theme="1"/>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18" fillId="0" borderId="0" xfId="0" applyFont="1"/>
    <xf numFmtId="0" fontId="16" fillId="0" borderId="0" xfId="0" applyFont="1"/>
    <xf numFmtId="164" fontId="0" fillId="0" borderId="0" xfId="0" applyNumberFormat="1"/>
    <xf numFmtId="0" fontId="19" fillId="0" borderId="0" xfId="0" applyFont="1" applyAlignment="1">
      <alignment horizontal="center"/>
    </xf>
    <xf numFmtId="165" fontId="0" fillId="0" borderId="0" xfId="42" applyNumberFormat="1" applyFont="1"/>
    <xf numFmtId="0" fontId="19" fillId="0" borderId="0" xfId="0" applyFont="1"/>
    <xf numFmtId="0" fontId="0" fillId="0" borderId="0" xfId="0" applyAlignment="1">
      <alignment wrapText="1"/>
    </xf>
    <xf numFmtId="2" fontId="0" fillId="0" borderId="0" xfId="0" applyNumberFormat="1"/>
    <xf numFmtId="0" fontId="20" fillId="0" borderId="0" xfId="0" applyFont="1"/>
    <xf numFmtId="0" fontId="0" fillId="0" borderId="0" xfId="0" applyAlignment="1"/>
    <xf numFmtId="0" fontId="16" fillId="0" borderId="0" xfId="0"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center" vertical="center"/>
    </xf>
    <xf numFmtId="172" fontId="0" fillId="0" borderId="0" xfId="0" applyNumberFormat="1"/>
    <xf numFmtId="173" fontId="0" fillId="0" borderId="0" xfId="0" applyNumberFormat="1"/>
    <xf numFmtId="0" fontId="0" fillId="0" borderId="0" xfId="0" applyAlignment="1">
      <alignment horizontal="left"/>
    </xf>
    <xf numFmtId="0" fontId="16"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5" formatCode="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[Kusuma_EXCEL_Assignment1.xlsx]Charts!PivotTable6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Charts!$A$4:$A$8</c:f>
              <c:strCache>
                <c:ptCount val="4"/>
                <c:pt idx="0">
                  <c:v>East</c:v>
                </c:pt>
                <c:pt idx="1">
                  <c:v>North</c:v>
                </c:pt>
                <c:pt idx="2">
                  <c:v>South</c:v>
                </c:pt>
                <c:pt idx="3">
                  <c:v>West</c:v>
                </c:pt>
              </c:strCache>
            </c:strRef>
          </c:cat>
          <c:val>
            <c:numRef>
              <c:f>Charts!$B$4:$B$8</c:f>
              <c:numCache>
                <c:formatCode>General</c:formatCode>
                <c:ptCount val="4"/>
                <c:pt idx="0">
                  <c:v>788936</c:v>
                </c:pt>
                <c:pt idx="1">
                  <c:v>698385</c:v>
                </c:pt>
                <c:pt idx="2">
                  <c:v>866015</c:v>
                </c:pt>
                <c:pt idx="3">
                  <c:v>881864</c:v>
                </c:pt>
              </c:numCache>
            </c:numRef>
          </c:val>
          <c:extLst>
            <c:ext xmlns:c16="http://schemas.microsoft.com/office/drawing/2014/chart" uri="{C3380CC4-5D6E-409C-BE32-E72D297353CC}">
              <c16:uniqueId val="{00000000-F0A0-400D-BBB4-55BFFF971BAC}"/>
            </c:ext>
          </c:extLst>
        </c:ser>
        <c:dLbls>
          <c:showLegendKey val="0"/>
          <c:showVal val="0"/>
          <c:showCatName val="0"/>
          <c:showSerName val="0"/>
          <c:showPercent val="0"/>
          <c:showBubbleSize val="0"/>
        </c:dLbls>
        <c:gapWidth val="100"/>
        <c:overlap val="-24"/>
        <c:axId val="2048086319"/>
        <c:axId val="2048086799"/>
      </c:barChart>
      <c:catAx>
        <c:axId val="2048086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8086799"/>
        <c:crosses val="autoZero"/>
        <c:auto val="1"/>
        <c:lblAlgn val="ctr"/>
        <c:lblOffset val="100"/>
        <c:noMultiLvlLbl val="0"/>
      </c:catAx>
      <c:valAx>
        <c:axId val="2048086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808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[Kusuma_EXCEL_Assignment1.xlsx]Charts!PivotTable7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Charts!$B$21</c:f>
              <c:strCache>
                <c:ptCount val="1"/>
                <c:pt idx="0">
                  <c:v>Total</c:v>
                </c:pt>
              </c:strCache>
            </c:strRef>
          </c:tx>
          <c:dPt>
            <c:idx val="0"/>
            <c:bubble3D val="0"/>
            <c:spPr>
              <a:solidFill>
                <a:schemeClr val="accent4">
                  <a:tint val="77000"/>
                </a:schemeClr>
              </a:solidFill>
              <a:ln>
                <a:noFill/>
              </a:ln>
              <a:effectLst>
                <a:outerShdw blurRad="254000" sx="102000" sy="102000" algn="ctr" rotWithShape="0">
                  <a:prstClr val="black">
                    <a:alpha val="20000"/>
                  </a:prstClr>
                </a:outerShdw>
              </a:effectLst>
            </c:spPr>
          </c:dPt>
          <c:dPt>
            <c:idx val="1"/>
            <c:bubble3D val="0"/>
            <c:spPr>
              <a:solidFill>
                <a:schemeClr val="accent4">
                  <a:shade val="76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Charts!$A$22:$A$24</c:f>
              <c:strCache>
                <c:ptCount val="2"/>
                <c:pt idx="0">
                  <c:v>Electronics</c:v>
                </c:pt>
                <c:pt idx="1">
                  <c:v>Furniture</c:v>
                </c:pt>
              </c:strCache>
            </c:strRef>
          </c:cat>
          <c:val>
            <c:numRef>
              <c:f>Charts!$B$22:$B$24</c:f>
              <c:numCache>
                <c:formatCode>General</c:formatCode>
                <c:ptCount val="2"/>
                <c:pt idx="0">
                  <c:v>1638383</c:v>
                </c:pt>
                <c:pt idx="1">
                  <c:v>1596817</c:v>
                </c:pt>
              </c:numCache>
            </c:numRef>
          </c:val>
          <c:extLst>
            <c:ext xmlns:c16="http://schemas.microsoft.com/office/drawing/2014/chart" uri="{C3380CC4-5D6E-409C-BE32-E72D297353CC}">
              <c16:uniqueId val="{00000000-0CB8-47DE-AFE7-C0EA159734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[Kusuma_EXCEL_Assignment1.xlsx]Charts!PivotTable8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Daily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Charts!$B$39</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Charts!$A$40:$A$43</c:f>
              <c:strCache>
                <c:ptCount val="3"/>
                <c:pt idx="0">
                  <c:v>Jan</c:v>
                </c:pt>
                <c:pt idx="1">
                  <c:v>Feb</c:v>
                </c:pt>
                <c:pt idx="2">
                  <c:v>Mar</c:v>
                </c:pt>
              </c:strCache>
            </c:strRef>
          </c:cat>
          <c:val>
            <c:numRef>
              <c:f>Charts!$B$40:$B$43</c:f>
              <c:numCache>
                <c:formatCode>General</c:formatCode>
                <c:ptCount val="3"/>
                <c:pt idx="0">
                  <c:v>1789203</c:v>
                </c:pt>
                <c:pt idx="1">
                  <c:v>1358687</c:v>
                </c:pt>
                <c:pt idx="2">
                  <c:v>87310</c:v>
                </c:pt>
              </c:numCache>
            </c:numRef>
          </c:val>
          <c:smooth val="0"/>
          <c:extLst>
            <c:ext xmlns:c16="http://schemas.microsoft.com/office/drawing/2014/chart" uri="{C3380CC4-5D6E-409C-BE32-E72D297353CC}">
              <c16:uniqueId val="{00000000-5170-47B5-9928-BCDF9FB8CA2B}"/>
            </c:ext>
          </c:extLst>
        </c:ser>
        <c:dLbls>
          <c:dLblPos val="t"/>
          <c:showLegendKey val="0"/>
          <c:showVal val="1"/>
          <c:showCatName val="0"/>
          <c:showSerName val="0"/>
          <c:showPercent val="0"/>
          <c:showBubbleSize val="0"/>
        </c:dLbls>
        <c:marker val="1"/>
        <c:smooth val="0"/>
        <c:axId val="281983375"/>
        <c:axId val="281984815"/>
      </c:lineChart>
      <c:catAx>
        <c:axId val="28198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84815"/>
        <c:crosses val="autoZero"/>
        <c:auto val="1"/>
        <c:lblAlgn val="ctr"/>
        <c:lblOffset val="100"/>
        <c:noMultiLvlLbl val="0"/>
      </c:catAx>
      <c:valAx>
        <c:axId val="28198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8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[Kusuma_EXCEL_Assignment1.xlsx]Charts!PivotTable9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person Ranking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Charts!$B$56</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Charts!$A$57:$A$62</c:f>
              <c:strCache>
                <c:ptCount val="5"/>
                <c:pt idx="0">
                  <c:v>Aisha</c:v>
                </c:pt>
                <c:pt idx="1">
                  <c:v>Farhan</c:v>
                </c:pt>
                <c:pt idx="2">
                  <c:v>Nikhil</c:v>
                </c:pt>
                <c:pt idx="3">
                  <c:v>Rahul</c:v>
                </c:pt>
                <c:pt idx="4">
                  <c:v>Sneha</c:v>
                </c:pt>
              </c:strCache>
            </c:strRef>
          </c:cat>
          <c:val>
            <c:numRef>
              <c:f>Charts!$B$57:$B$62</c:f>
              <c:numCache>
                <c:formatCode>General</c:formatCode>
                <c:ptCount val="5"/>
                <c:pt idx="0">
                  <c:v>750452</c:v>
                </c:pt>
                <c:pt idx="1">
                  <c:v>693403</c:v>
                </c:pt>
                <c:pt idx="2">
                  <c:v>648534</c:v>
                </c:pt>
                <c:pt idx="3">
                  <c:v>633574</c:v>
                </c:pt>
                <c:pt idx="4">
                  <c:v>509237</c:v>
                </c:pt>
              </c:numCache>
            </c:numRef>
          </c:val>
          <c:extLst>
            <c:ext xmlns:c16="http://schemas.microsoft.com/office/drawing/2014/chart" uri="{C3380CC4-5D6E-409C-BE32-E72D297353CC}">
              <c16:uniqueId val="{00000000-04AF-48F3-9B28-27B2D366A367}"/>
            </c:ext>
          </c:extLst>
        </c:ser>
        <c:dLbls>
          <c:dLblPos val="inEnd"/>
          <c:showLegendKey val="0"/>
          <c:showVal val="1"/>
          <c:showCatName val="0"/>
          <c:showSerName val="0"/>
          <c:showPercent val="0"/>
          <c:showBubbleSize val="0"/>
        </c:dLbls>
        <c:gapWidth val="65"/>
        <c:axId val="282000655"/>
        <c:axId val="282002095"/>
      </c:barChart>
      <c:catAx>
        <c:axId val="2820006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2002095"/>
        <c:crosses val="autoZero"/>
        <c:auto val="1"/>
        <c:lblAlgn val="ctr"/>
        <c:lblOffset val="100"/>
        <c:noMultiLvlLbl val="0"/>
      </c:catAx>
      <c:valAx>
        <c:axId val="2820020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20006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[Kusuma_EXCEL_Assignment1.xlsx]Charts!PivotTable6</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VS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Charts!$A$4:$A$8</c:f>
              <c:strCache>
                <c:ptCount val="4"/>
                <c:pt idx="0">
                  <c:v>East</c:v>
                </c:pt>
                <c:pt idx="1">
                  <c:v>North</c:v>
                </c:pt>
                <c:pt idx="2">
                  <c:v>South</c:v>
                </c:pt>
                <c:pt idx="3">
                  <c:v>West</c:v>
                </c:pt>
              </c:strCache>
            </c:strRef>
          </c:cat>
          <c:val>
            <c:numRef>
              <c:f>Charts!$B$4:$B$8</c:f>
              <c:numCache>
                <c:formatCode>General</c:formatCode>
                <c:ptCount val="4"/>
                <c:pt idx="0">
                  <c:v>788936</c:v>
                </c:pt>
                <c:pt idx="1">
                  <c:v>698385</c:v>
                </c:pt>
                <c:pt idx="2">
                  <c:v>866015</c:v>
                </c:pt>
                <c:pt idx="3">
                  <c:v>881864</c:v>
                </c:pt>
              </c:numCache>
            </c:numRef>
          </c:val>
          <c:extLst>
            <c:ext xmlns:c16="http://schemas.microsoft.com/office/drawing/2014/chart" uri="{C3380CC4-5D6E-409C-BE32-E72D297353CC}">
              <c16:uniqueId val="{00000000-CDEE-40DF-A2B0-4EDE0233E73D}"/>
            </c:ext>
          </c:extLst>
        </c:ser>
        <c:dLbls>
          <c:dLblPos val="outEnd"/>
          <c:showLegendKey val="0"/>
          <c:showVal val="1"/>
          <c:showCatName val="0"/>
          <c:showSerName val="0"/>
          <c:showPercent val="0"/>
          <c:showBubbleSize val="0"/>
        </c:dLbls>
        <c:gapWidth val="100"/>
        <c:overlap val="-24"/>
        <c:axId val="2048086319"/>
        <c:axId val="2048086799"/>
      </c:barChart>
      <c:catAx>
        <c:axId val="2048086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86799"/>
        <c:crosses val="autoZero"/>
        <c:auto val="1"/>
        <c:lblAlgn val="ctr"/>
        <c:lblOffset val="100"/>
        <c:noMultiLvlLbl val="0"/>
      </c:catAx>
      <c:valAx>
        <c:axId val="204808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8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[Kusuma_EXCEL_Assignment1.xlsx]Charts!PivotTable7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Category Share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Charts!$B$21</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CCB-410A-9C23-AE5F1EE81A23}"/>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CCB-410A-9C23-AE5F1EE81A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Charts!$A$22:$A$24</c:f>
              <c:strCache>
                <c:ptCount val="2"/>
                <c:pt idx="0">
                  <c:v>Electronics</c:v>
                </c:pt>
                <c:pt idx="1">
                  <c:v>Furniture</c:v>
                </c:pt>
              </c:strCache>
            </c:strRef>
          </c:cat>
          <c:val>
            <c:numRef>
              <c:f>Charts!$B$22:$B$24</c:f>
              <c:numCache>
                <c:formatCode>General</c:formatCode>
                <c:ptCount val="2"/>
                <c:pt idx="0">
                  <c:v>1638383</c:v>
                </c:pt>
                <c:pt idx="1">
                  <c:v>1596817</c:v>
                </c:pt>
              </c:numCache>
            </c:numRef>
          </c:val>
          <c:extLst>
            <c:ext xmlns:c16="http://schemas.microsoft.com/office/drawing/2014/chart" uri="{C3380CC4-5D6E-409C-BE32-E72D297353CC}">
              <c16:uniqueId val="{00000004-8CCB-410A-9C23-AE5F1EE81A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[Kusuma_EXCEL_Assignment1.xlsx]Charts!PivotTable9</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person Ranking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Charts!$A$57:$A$62</c:f>
              <c:strCache>
                <c:ptCount val="5"/>
                <c:pt idx="0">
                  <c:v>Aisha</c:v>
                </c:pt>
                <c:pt idx="1">
                  <c:v>Farhan</c:v>
                </c:pt>
                <c:pt idx="2">
                  <c:v>Nikhil</c:v>
                </c:pt>
                <c:pt idx="3">
                  <c:v>Rahul</c:v>
                </c:pt>
                <c:pt idx="4">
                  <c:v>Sneha</c:v>
                </c:pt>
              </c:strCache>
            </c:strRef>
          </c:cat>
          <c:val>
            <c:numRef>
              <c:f>Charts!$B$57:$B$62</c:f>
              <c:numCache>
                <c:formatCode>General</c:formatCode>
                <c:ptCount val="5"/>
                <c:pt idx="0">
                  <c:v>750452</c:v>
                </c:pt>
                <c:pt idx="1">
                  <c:v>693403</c:v>
                </c:pt>
                <c:pt idx="2">
                  <c:v>648534</c:v>
                </c:pt>
                <c:pt idx="3">
                  <c:v>633574</c:v>
                </c:pt>
                <c:pt idx="4">
                  <c:v>509237</c:v>
                </c:pt>
              </c:numCache>
            </c:numRef>
          </c:val>
          <c:extLst>
            <c:ext xmlns:c16="http://schemas.microsoft.com/office/drawing/2014/chart" uri="{C3380CC4-5D6E-409C-BE32-E72D297353CC}">
              <c16:uniqueId val="{00000000-F8F0-4474-AEFF-E886F8E9A01B}"/>
            </c:ext>
          </c:extLst>
        </c:ser>
        <c:dLbls>
          <c:dLblPos val="inEnd"/>
          <c:showLegendKey val="0"/>
          <c:showVal val="1"/>
          <c:showCatName val="0"/>
          <c:showSerName val="0"/>
          <c:showPercent val="0"/>
          <c:showBubbleSize val="0"/>
        </c:dLbls>
        <c:gapWidth val="100"/>
        <c:axId val="282000655"/>
        <c:axId val="282002095"/>
      </c:barChart>
      <c:catAx>
        <c:axId val="2820006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2002095"/>
        <c:crosses val="autoZero"/>
        <c:auto val="1"/>
        <c:lblAlgn val="ctr"/>
        <c:lblOffset val="100"/>
        <c:noMultiLvlLbl val="0"/>
      </c:catAx>
      <c:valAx>
        <c:axId val="28200209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200065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7.xml"/><Relationship Id="rId7" Type="http://schemas.openxmlformats.org/officeDocument/2006/relationships/image" Target="../media/image4.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314325</xdr:colOff>
      <xdr:row>2</xdr:row>
      <xdr:rowOff>79375</xdr:rowOff>
    </xdr:from>
    <xdr:to>
      <xdr:col>10</xdr:col>
      <xdr:colOff>9525</xdr:colOff>
      <xdr:row>17</xdr:row>
      <xdr:rowOff>60325</xdr:rowOff>
    </xdr:to>
    <xdr:graphicFrame macro="">
      <xdr:nvGraphicFramePr>
        <xdr:cNvPr id="2" name="Chart 1">
          <a:extLst>
            <a:ext uri="{FF2B5EF4-FFF2-40B4-BE49-F238E27FC236}">
              <a16:creationId xmlns:a16="http://schemas.microsoft.com/office/drawing/2014/main" id="{E16173EE-CCF5-A7F3-2357-CBB2612CB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219075</xdr:colOff>
      <xdr:row>20</xdr:row>
      <xdr:rowOff>9525</xdr:rowOff>
    </xdr:from>
    <xdr:to>
      <xdr:col>9</xdr:col>
      <xdr:colOff>292100</xdr:colOff>
      <xdr:row>34</xdr:row>
      <xdr:rowOff>12700</xdr:rowOff>
    </xdr:to>
    <xdr:graphicFrame macro="">
      <xdr:nvGraphicFramePr>
        <xdr:cNvPr id="3" name="Chart 2">
          <a:extLst>
            <a:ext uri="{FF2B5EF4-FFF2-40B4-BE49-F238E27FC236}">
              <a16:creationId xmlns:a16="http://schemas.microsoft.com/office/drawing/2014/main" id="{9481926D-6D35-9D68-E9E1-7A90E9A9B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441325</xdr:colOff>
      <xdr:row>37</xdr:row>
      <xdr:rowOff>136525</xdr:rowOff>
    </xdr:from>
    <xdr:to>
      <xdr:col>10</xdr:col>
      <xdr:colOff>136525</xdr:colOff>
      <xdr:row>52</xdr:row>
      <xdr:rowOff>117475</xdr:rowOff>
    </xdr:to>
    <xdr:graphicFrame macro="">
      <xdr:nvGraphicFramePr>
        <xdr:cNvPr id="5" name="Chart 4">
          <a:extLst>
            <a:ext uri="{FF2B5EF4-FFF2-40B4-BE49-F238E27FC236}">
              <a16:creationId xmlns:a16="http://schemas.microsoft.com/office/drawing/2014/main" id="{C29037A7-5517-17EF-D0BA-6C717F774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73025</xdr:colOff>
      <xdr:row>55</xdr:row>
      <xdr:rowOff>22225</xdr:rowOff>
    </xdr:from>
    <xdr:to>
      <xdr:col>10</xdr:col>
      <xdr:colOff>377825</xdr:colOff>
      <xdr:row>70</xdr:row>
      <xdr:rowOff>3175</xdr:rowOff>
    </xdr:to>
    <xdr:graphicFrame macro="">
      <xdr:nvGraphicFramePr>
        <xdr:cNvPr id="6" name="Chart 5">
          <a:extLst>
            <a:ext uri="{FF2B5EF4-FFF2-40B4-BE49-F238E27FC236}">
              <a16:creationId xmlns:a16="http://schemas.microsoft.com/office/drawing/2014/main" id="{17642253-9923-D7A4-BA22-31669EE37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15876</xdr:rowOff>
    </xdr:from>
    <xdr:to>
      <xdr:col>23</xdr:col>
      <xdr:colOff>476250</xdr:colOff>
      <xdr:row>2</xdr:row>
      <xdr:rowOff>142876</xdr:rowOff>
    </xdr:to>
    <xdr:sp macro="" textlink="">
      <xdr:nvSpPr>
        <xdr:cNvPr id="2" name="Rectangle: Top Corners Rounded 1">
          <a:extLst>
            <a:ext uri="{FF2B5EF4-FFF2-40B4-BE49-F238E27FC236}">
              <a16:creationId xmlns:a16="http://schemas.microsoft.com/office/drawing/2014/main" id="{2F8E941D-3E78-AE31-3109-161A64E0A949}"/>
            </a:ext>
          </a:extLst>
        </xdr:cNvPr>
        <xdr:cNvSpPr/>
      </xdr:nvSpPr>
      <xdr:spPr>
        <a:xfrm>
          <a:off x="0" y="15876"/>
          <a:ext cx="14533563" cy="492125"/>
        </a:xfrm>
        <a:prstGeom prst="round2Same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AE" sz="2400" b="1">
              <a:solidFill>
                <a:schemeClr val="tx1">
                  <a:lumMod val="95000"/>
                  <a:lumOff val="5000"/>
                </a:schemeClr>
              </a:solidFill>
            </a:rPr>
            <a:t>Sales Analytics Dashboard</a:t>
          </a:r>
        </a:p>
      </xdr:txBody>
    </xdr:sp>
    <xdr:clientData/>
  </xdr:twoCellAnchor>
  <xdr:twoCellAnchor>
    <xdr:from>
      <xdr:col>3</xdr:col>
      <xdr:colOff>71437</xdr:colOff>
      <xdr:row>3</xdr:row>
      <xdr:rowOff>7937</xdr:rowOff>
    </xdr:from>
    <xdr:to>
      <xdr:col>6</xdr:col>
      <xdr:colOff>174625</xdr:colOff>
      <xdr:row>6</xdr:row>
      <xdr:rowOff>166688</xdr:rowOff>
    </xdr:to>
    <xdr:sp macro="" textlink="">
      <xdr:nvSpPr>
        <xdr:cNvPr id="3" name="Rectangle 2">
          <a:extLst>
            <a:ext uri="{FF2B5EF4-FFF2-40B4-BE49-F238E27FC236}">
              <a16:creationId xmlns:a16="http://schemas.microsoft.com/office/drawing/2014/main" id="{84A595A2-4828-C04F-02B8-BDEC61030D0E}"/>
            </a:ext>
          </a:extLst>
        </xdr:cNvPr>
        <xdr:cNvSpPr/>
      </xdr:nvSpPr>
      <xdr:spPr>
        <a:xfrm>
          <a:off x="1905000" y="555625"/>
          <a:ext cx="1936750" cy="706438"/>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AE" sz="1600" b="1">
              <a:solidFill>
                <a:schemeClr val="accent1"/>
              </a:solidFill>
            </a:rPr>
            <a:t>Total Sales</a:t>
          </a:r>
          <a:br>
            <a:rPr lang="en-AE" sz="1600" b="1">
              <a:solidFill>
                <a:schemeClr val="accent1"/>
              </a:solidFill>
            </a:rPr>
          </a:br>
          <a:endParaRPr lang="en-AE" sz="1600" b="1">
            <a:solidFill>
              <a:schemeClr val="accent1"/>
            </a:solidFill>
          </a:endParaRPr>
        </a:p>
      </xdr:txBody>
    </xdr:sp>
    <xdr:clientData/>
  </xdr:twoCellAnchor>
  <xdr:twoCellAnchor>
    <xdr:from>
      <xdr:col>7</xdr:col>
      <xdr:colOff>184150</xdr:colOff>
      <xdr:row>3</xdr:row>
      <xdr:rowOff>17462</xdr:rowOff>
    </xdr:from>
    <xdr:to>
      <xdr:col>10</xdr:col>
      <xdr:colOff>287338</xdr:colOff>
      <xdr:row>6</xdr:row>
      <xdr:rowOff>176213</xdr:rowOff>
    </xdr:to>
    <xdr:sp macro="" textlink="">
      <xdr:nvSpPr>
        <xdr:cNvPr id="4" name="Rectangle 3">
          <a:extLst>
            <a:ext uri="{FF2B5EF4-FFF2-40B4-BE49-F238E27FC236}">
              <a16:creationId xmlns:a16="http://schemas.microsoft.com/office/drawing/2014/main" id="{2C8180CF-BA95-4FD4-B715-5218A6224AB8}"/>
            </a:ext>
          </a:extLst>
        </xdr:cNvPr>
        <xdr:cNvSpPr/>
      </xdr:nvSpPr>
      <xdr:spPr>
        <a:xfrm>
          <a:off x="4462463" y="565150"/>
          <a:ext cx="1936750" cy="706438"/>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AE" sz="1600" b="1">
              <a:solidFill>
                <a:schemeClr val="accent1"/>
              </a:solidFill>
            </a:rPr>
            <a:t>Total Profit</a:t>
          </a:r>
        </a:p>
      </xdr:txBody>
    </xdr:sp>
    <xdr:clientData/>
  </xdr:twoCellAnchor>
  <xdr:twoCellAnchor>
    <xdr:from>
      <xdr:col>11</xdr:col>
      <xdr:colOff>201613</xdr:colOff>
      <xdr:row>3</xdr:row>
      <xdr:rowOff>34924</xdr:rowOff>
    </xdr:from>
    <xdr:to>
      <xdr:col>14</xdr:col>
      <xdr:colOff>304801</xdr:colOff>
      <xdr:row>7</xdr:row>
      <xdr:rowOff>11112</xdr:rowOff>
    </xdr:to>
    <xdr:sp macro="" textlink="">
      <xdr:nvSpPr>
        <xdr:cNvPr id="5" name="Rectangle 4">
          <a:extLst>
            <a:ext uri="{FF2B5EF4-FFF2-40B4-BE49-F238E27FC236}">
              <a16:creationId xmlns:a16="http://schemas.microsoft.com/office/drawing/2014/main" id="{93FC5A9D-B9E1-4CC4-ADBD-6336ADFE8439}"/>
            </a:ext>
          </a:extLst>
        </xdr:cNvPr>
        <xdr:cNvSpPr/>
      </xdr:nvSpPr>
      <xdr:spPr>
        <a:xfrm>
          <a:off x="6924676" y="582612"/>
          <a:ext cx="1936750" cy="706438"/>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AE" sz="1600" b="1">
              <a:solidFill>
                <a:schemeClr val="accent1"/>
              </a:solidFill>
            </a:rPr>
            <a:t>Total Orders</a:t>
          </a:r>
        </a:p>
      </xdr:txBody>
    </xdr:sp>
    <xdr:clientData/>
  </xdr:twoCellAnchor>
  <xdr:twoCellAnchor>
    <xdr:from>
      <xdr:col>15</xdr:col>
      <xdr:colOff>282576</xdr:colOff>
      <xdr:row>3</xdr:row>
      <xdr:rowOff>20637</xdr:rowOff>
    </xdr:from>
    <xdr:to>
      <xdr:col>18</xdr:col>
      <xdr:colOff>385764</xdr:colOff>
      <xdr:row>6</xdr:row>
      <xdr:rowOff>179388</xdr:rowOff>
    </xdr:to>
    <xdr:sp macro="" textlink="">
      <xdr:nvSpPr>
        <xdr:cNvPr id="6" name="Rectangle 5">
          <a:extLst>
            <a:ext uri="{FF2B5EF4-FFF2-40B4-BE49-F238E27FC236}">
              <a16:creationId xmlns:a16="http://schemas.microsoft.com/office/drawing/2014/main" id="{00FA0C56-5AC2-4796-B2AF-1EBDA9DECEFC}"/>
            </a:ext>
          </a:extLst>
        </xdr:cNvPr>
        <xdr:cNvSpPr/>
      </xdr:nvSpPr>
      <xdr:spPr>
        <a:xfrm>
          <a:off x="9450389" y="568325"/>
          <a:ext cx="1936750" cy="706438"/>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AE" sz="1600" b="1">
              <a:solidFill>
                <a:schemeClr val="accent1"/>
              </a:solidFill>
            </a:rPr>
            <a:t>Best SalesPerson</a:t>
          </a:r>
        </a:p>
      </xdr:txBody>
    </xdr:sp>
    <xdr:clientData/>
  </xdr:twoCellAnchor>
  <xdr:twoCellAnchor>
    <xdr:from>
      <xdr:col>3</xdr:col>
      <xdr:colOff>301626</xdr:colOff>
      <xdr:row>4</xdr:row>
      <xdr:rowOff>71440</xdr:rowOff>
    </xdr:from>
    <xdr:to>
      <xdr:col>5</xdr:col>
      <xdr:colOff>460376</xdr:colOff>
      <xdr:row>6</xdr:row>
      <xdr:rowOff>31751</xdr:rowOff>
    </xdr:to>
    <xdr:sp macro="" textlink="'pivot Tables'!B11">
      <xdr:nvSpPr>
        <xdr:cNvPr id="7" name="Rectangle: Rounded Corners 6">
          <a:extLst>
            <a:ext uri="{FF2B5EF4-FFF2-40B4-BE49-F238E27FC236}">
              <a16:creationId xmlns:a16="http://schemas.microsoft.com/office/drawing/2014/main" id="{2F1703EC-2012-E7F3-3EB5-40DFEBE79548}"/>
            </a:ext>
          </a:extLst>
        </xdr:cNvPr>
        <xdr:cNvSpPr/>
      </xdr:nvSpPr>
      <xdr:spPr>
        <a:xfrm>
          <a:off x="2135189" y="801690"/>
          <a:ext cx="1381125" cy="325436"/>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E11C7BE8-8D0F-4A9D-B72D-5F72D5D2D060}" type="TxLink">
            <a:rPr lang="en-US" sz="1800" b="1" i="0" u="none" strike="noStrike">
              <a:solidFill>
                <a:schemeClr val="tx1">
                  <a:lumMod val="95000"/>
                  <a:lumOff val="5000"/>
                </a:schemeClr>
              </a:solidFill>
              <a:latin typeface="Calibri"/>
              <a:ea typeface="Calibri"/>
              <a:cs typeface="Calibri"/>
            </a:rPr>
            <a:pPr algn="ctr"/>
            <a:t>3.24M</a:t>
          </a:fld>
          <a:endParaRPr lang="en-AE" sz="1800" b="1">
            <a:solidFill>
              <a:schemeClr val="tx1">
                <a:lumMod val="95000"/>
                <a:lumOff val="5000"/>
              </a:schemeClr>
            </a:solidFill>
          </a:endParaRPr>
        </a:p>
      </xdr:txBody>
    </xdr:sp>
    <xdr:clientData/>
  </xdr:twoCellAnchor>
  <xdr:twoCellAnchor>
    <xdr:from>
      <xdr:col>7</xdr:col>
      <xdr:colOff>317500</xdr:colOff>
      <xdr:row>4</xdr:row>
      <xdr:rowOff>119063</xdr:rowOff>
    </xdr:from>
    <xdr:to>
      <xdr:col>10</xdr:col>
      <xdr:colOff>15876</xdr:colOff>
      <xdr:row>6</xdr:row>
      <xdr:rowOff>63500</xdr:rowOff>
    </xdr:to>
    <xdr:sp macro="" textlink="'pivot Tables'!F22">
      <xdr:nvSpPr>
        <xdr:cNvPr id="8" name="Rectangle 7">
          <a:extLst>
            <a:ext uri="{FF2B5EF4-FFF2-40B4-BE49-F238E27FC236}">
              <a16:creationId xmlns:a16="http://schemas.microsoft.com/office/drawing/2014/main" id="{A150CBF5-A26C-0B27-9930-26186425F94E}"/>
            </a:ext>
          </a:extLst>
        </xdr:cNvPr>
        <xdr:cNvSpPr/>
      </xdr:nvSpPr>
      <xdr:spPr>
        <a:xfrm>
          <a:off x="4595813" y="849313"/>
          <a:ext cx="1531938" cy="309562"/>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fld id="{06769F32-61A2-4035-9456-91690F6AF925}" type="TxLink">
            <a:rPr lang="en-US" sz="1800" b="1" i="0" u="none" strike="noStrike">
              <a:solidFill>
                <a:srgbClr val="000000"/>
              </a:solidFill>
              <a:latin typeface="Calibri"/>
              <a:ea typeface="Calibri"/>
              <a:cs typeface="Calibri"/>
            </a:rPr>
            <a:pPr algn="ctr"/>
            <a:t>788.1K</a:t>
          </a:fld>
          <a:endParaRPr lang="en-AE" sz="1800" b="1"/>
        </a:p>
      </xdr:txBody>
    </xdr:sp>
    <xdr:clientData/>
  </xdr:twoCellAnchor>
  <xdr:twoCellAnchor>
    <xdr:from>
      <xdr:col>11</xdr:col>
      <xdr:colOff>420687</xdr:colOff>
      <xdr:row>4</xdr:row>
      <xdr:rowOff>127001</xdr:rowOff>
    </xdr:from>
    <xdr:to>
      <xdr:col>14</xdr:col>
      <xdr:colOff>71438</xdr:colOff>
      <xdr:row>6</xdr:row>
      <xdr:rowOff>47626</xdr:rowOff>
    </xdr:to>
    <xdr:sp macro="" textlink="'pivot Tables'!B231">
      <xdr:nvSpPr>
        <xdr:cNvPr id="9" name="Rectangle 8">
          <a:extLst>
            <a:ext uri="{FF2B5EF4-FFF2-40B4-BE49-F238E27FC236}">
              <a16:creationId xmlns:a16="http://schemas.microsoft.com/office/drawing/2014/main" id="{AE33F821-7EF6-6A31-B356-F4840F4D7A2F}"/>
            </a:ext>
          </a:extLst>
        </xdr:cNvPr>
        <xdr:cNvSpPr/>
      </xdr:nvSpPr>
      <xdr:spPr>
        <a:xfrm>
          <a:off x="7143750" y="857251"/>
          <a:ext cx="1484313" cy="28575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fld id="{72378A5B-9741-46C0-B342-90990AE5C1C0}" type="TxLink">
            <a:rPr lang="en-US" sz="1800" b="1" i="0" u="none" strike="noStrike">
              <a:solidFill>
                <a:schemeClr val="tx1">
                  <a:lumMod val="95000"/>
                  <a:lumOff val="5000"/>
                </a:schemeClr>
              </a:solidFill>
              <a:latin typeface="Calibri"/>
              <a:ea typeface="Calibri"/>
              <a:cs typeface="Calibri"/>
            </a:rPr>
            <a:pPr algn="ctr"/>
            <a:t>200</a:t>
          </a:fld>
          <a:endParaRPr lang="en-AE" sz="1800" b="1">
            <a:solidFill>
              <a:schemeClr val="tx1">
                <a:lumMod val="95000"/>
                <a:lumOff val="5000"/>
              </a:schemeClr>
            </a:solidFill>
          </a:endParaRPr>
        </a:p>
      </xdr:txBody>
    </xdr:sp>
    <xdr:clientData/>
  </xdr:twoCellAnchor>
  <xdr:twoCellAnchor>
    <xdr:from>
      <xdr:col>15</xdr:col>
      <xdr:colOff>452438</xdr:colOff>
      <xdr:row>4</xdr:row>
      <xdr:rowOff>127001</xdr:rowOff>
    </xdr:from>
    <xdr:to>
      <xdr:col>18</xdr:col>
      <xdr:colOff>79376</xdr:colOff>
      <xdr:row>6</xdr:row>
      <xdr:rowOff>111126</xdr:rowOff>
    </xdr:to>
    <xdr:sp macro="" textlink="'pivot Tables'!F3">
      <xdr:nvSpPr>
        <xdr:cNvPr id="10" name="Rectangle 9">
          <a:extLst>
            <a:ext uri="{FF2B5EF4-FFF2-40B4-BE49-F238E27FC236}">
              <a16:creationId xmlns:a16="http://schemas.microsoft.com/office/drawing/2014/main" id="{AFD18592-D122-6754-AC33-234FC6721C23}"/>
            </a:ext>
          </a:extLst>
        </xdr:cNvPr>
        <xdr:cNvSpPr/>
      </xdr:nvSpPr>
      <xdr:spPr>
        <a:xfrm>
          <a:off x="9620251" y="857251"/>
          <a:ext cx="1460500" cy="349250"/>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fld id="{FFF59F8A-E482-469F-B6CF-42F54F2000DF}" type="TxLink">
            <a:rPr lang="en-US" sz="1800" b="1" i="0" u="none" strike="noStrike">
              <a:solidFill>
                <a:schemeClr val="tx1">
                  <a:lumMod val="95000"/>
                  <a:lumOff val="5000"/>
                </a:schemeClr>
              </a:solidFill>
              <a:latin typeface="Calibri"/>
              <a:ea typeface="Calibri"/>
              <a:cs typeface="Calibri"/>
            </a:rPr>
            <a:pPr algn="ctr"/>
            <a:t>Aisha</a:t>
          </a:fld>
          <a:endParaRPr lang="en-AE" sz="1800" b="1">
            <a:solidFill>
              <a:schemeClr val="tx1">
                <a:lumMod val="95000"/>
                <a:lumOff val="5000"/>
              </a:schemeClr>
            </a:solidFill>
          </a:endParaRPr>
        </a:p>
      </xdr:txBody>
    </xdr:sp>
    <xdr:clientData/>
  </xdr:twoCellAnchor>
  <xdr:twoCellAnchor>
    <xdr:from>
      <xdr:col>12</xdr:col>
      <xdr:colOff>261937</xdr:colOff>
      <xdr:row>7</xdr:row>
      <xdr:rowOff>158750</xdr:rowOff>
    </xdr:from>
    <xdr:to>
      <xdr:col>20</xdr:col>
      <xdr:colOff>150813</xdr:colOff>
      <xdr:row>26</xdr:row>
      <xdr:rowOff>174625</xdr:rowOff>
    </xdr:to>
    <xdr:graphicFrame macro="">
      <xdr:nvGraphicFramePr>
        <xdr:cNvPr id="12" name="Chart 11">
          <a:extLst>
            <a:ext uri="{FF2B5EF4-FFF2-40B4-BE49-F238E27FC236}">
              <a16:creationId xmlns:a16="http://schemas.microsoft.com/office/drawing/2014/main" id="{B151DDBA-300D-4162-9F49-AEAC79581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3</xdr:col>
      <xdr:colOff>150812</xdr:colOff>
      <xdr:row>27</xdr:row>
      <xdr:rowOff>134937</xdr:rowOff>
    </xdr:to>
    <xdr:graphicFrame macro="">
      <xdr:nvGraphicFramePr>
        <xdr:cNvPr id="14" name="Chart 13">
          <a:extLst>
            <a:ext uri="{FF2B5EF4-FFF2-40B4-BE49-F238E27FC236}">
              <a16:creationId xmlns:a16="http://schemas.microsoft.com/office/drawing/2014/main" id="{CAB8A99A-49CF-4952-910D-CBC6DAE16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336550</xdr:colOff>
      <xdr:row>3</xdr:row>
      <xdr:rowOff>7938</xdr:rowOff>
    </xdr:from>
    <xdr:to>
      <xdr:col>23</xdr:col>
      <xdr:colOff>331787</xdr:colOff>
      <xdr:row>11</xdr:row>
      <xdr:rowOff>47625</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060A945E-2457-C53C-1CAC-359136CA60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560300" y="555626"/>
              <a:ext cx="1828800" cy="150018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206375</xdr:colOff>
      <xdr:row>8</xdr:row>
      <xdr:rowOff>7937</xdr:rowOff>
    </xdr:from>
    <xdr:to>
      <xdr:col>12</xdr:col>
      <xdr:colOff>103188</xdr:colOff>
      <xdr:row>27</xdr:row>
      <xdr:rowOff>7936</xdr:rowOff>
    </xdr:to>
    <xdr:graphicFrame macro="">
      <xdr:nvGraphicFramePr>
        <xdr:cNvPr id="16" name="Chart 15">
          <a:extLst>
            <a:ext uri="{FF2B5EF4-FFF2-40B4-BE49-F238E27FC236}">
              <a16:creationId xmlns:a16="http://schemas.microsoft.com/office/drawing/2014/main" id="{F9FFBE51-65DE-4BA3-BE71-DEDCC738B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363537</xdr:colOff>
      <xdr:row>12</xdr:row>
      <xdr:rowOff>1588</xdr:rowOff>
    </xdr:from>
    <xdr:to>
      <xdr:col>23</xdr:col>
      <xdr:colOff>358774</xdr:colOff>
      <xdr:row>17</xdr:row>
      <xdr:rowOff>87312</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92218073-369E-73FE-AC58-F75C25CA44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87287" y="2192338"/>
              <a:ext cx="1828800" cy="99853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387350</xdr:colOff>
      <xdr:row>18</xdr:row>
      <xdr:rowOff>88902</xdr:rowOff>
    </xdr:from>
    <xdr:to>
      <xdr:col>23</xdr:col>
      <xdr:colOff>382587</xdr:colOff>
      <xdr:row>28</xdr:row>
      <xdr:rowOff>1</xdr:rowOff>
    </xdr:to>
    <mc:AlternateContent xmlns:mc="http://schemas.openxmlformats.org/markup-compatibility/2006">
      <mc:Choice xmlns:a14="http://schemas.microsoft.com/office/drawing/2010/main" Requires="a14">
        <xdr:graphicFrame macro="">
          <xdr:nvGraphicFramePr>
            <xdr:cNvPr id="18" name="SalesPerson">
              <a:extLst>
                <a:ext uri="{FF2B5EF4-FFF2-40B4-BE49-F238E27FC236}">
                  <a16:creationId xmlns:a16="http://schemas.microsoft.com/office/drawing/2014/main" id="{93A093F2-7EC7-FD2F-7E64-B9EEB15C33B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611100" y="3375027"/>
              <a:ext cx="1828800" cy="173672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349250</xdr:colOff>
      <xdr:row>4</xdr:row>
      <xdr:rowOff>15875</xdr:rowOff>
    </xdr:from>
    <xdr:to>
      <xdr:col>10</xdr:col>
      <xdr:colOff>206376</xdr:colOff>
      <xdr:row>6</xdr:row>
      <xdr:rowOff>119063</xdr:rowOff>
    </xdr:to>
    <xdr:pic>
      <xdr:nvPicPr>
        <xdr:cNvPr id="20" name="Graphic 19" descr="Coins with solid fill">
          <a:extLst>
            <a:ext uri="{FF2B5EF4-FFF2-40B4-BE49-F238E27FC236}">
              <a16:creationId xmlns:a16="http://schemas.microsoft.com/office/drawing/2014/main" id="{FC9810B5-8365-4C33-46B1-18B6FC8278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849938" y="746125"/>
          <a:ext cx="468313" cy="468313"/>
        </a:xfrm>
        <a:prstGeom prst="rect">
          <a:avLst/>
        </a:prstGeom>
      </xdr:spPr>
    </xdr:pic>
    <xdr:clientData/>
  </xdr:twoCellAnchor>
  <xdr:twoCellAnchor editAs="oneCell">
    <xdr:from>
      <xdr:col>5</xdr:col>
      <xdr:colOff>214313</xdr:colOff>
      <xdr:row>4</xdr:row>
      <xdr:rowOff>31751</xdr:rowOff>
    </xdr:from>
    <xdr:to>
      <xdr:col>6</xdr:col>
      <xdr:colOff>134938</xdr:colOff>
      <xdr:row>7</xdr:row>
      <xdr:rowOff>15875</xdr:rowOff>
    </xdr:to>
    <xdr:pic>
      <xdr:nvPicPr>
        <xdr:cNvPr id="22" name="Graphic 21" descr="Bar graph with upward trend with solid fill">
          <a:extLst>
            <a:ext uri="{FF2B5EF4-FFF2-40B4-BE49-F238E27FC236}">
              <a16:creationId xmlns:a16="http://schemas.microsoft.com/office/drawing/2014/main" id="{99B9C782-79B3-AECE-8AE4-0ED2A078FC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70251" y="762001"/>
          <a:ext cx="531812" cy="531812"/>
        </a:xfrm>
        <a:prstGeom prst="rect">
          <a:avLst/>
        </a:prstGeom>
      </xdr:spPr>
    </xdr:pic>
    <xdr:clientData/>
  </xdr:twoCellAnchor>
  <xdr:twoCellAnchor editAs="oneCell">
    <xdr:from>
      <xdr:col>13</xdr:col>
      <xdr:colOff>261937</xdr:colOff>
      <xdr:row>4</xdr:row>
      <xdr:rowOff>87314</xdr:rowOff>
    </xdr:from>
    <xdr:to>
      <xdr:col>14</xdr:col>
      <xdr:colOff>341313</xdr:colOff>
      <xdr:row>6</xdr:row>
      <xdr:rowOff>166689</xdr:rowOff>
    </xdr:to>
    <xdr:pic>
      <xdr:nvPicPr>
        <xdr:cNvPr id="24" name="Graphic 23" descr="Shopping cart with solid fill">
          <a:extLst>
            <a:ext uri="{FF2B5EF4-FFF2-40B4-BE49-F238E27FC236}">
              <a16:creationId xmlns:a16="http://schemas.microsoft.com/office/drawing/2014/main" id="{0859C765-E45D-84B8-4769-389D36BF57D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207375" y="817564"/>
          <a:ext cx="690563" cy="444500"/>
        </a:xfrm>
        <a:prstGeom prst="rect">
          <a:avLst/>
        </a:prstGeom>
      </xdr:spPr>
    </xdr:pic>
    <xdr:clientData/>
  </xdr:twoCellAnchor>
  <xdr:twoCellAnchor editAs="oneCell">
    <xdr:from>
      <xdr:col>17</xdr:col>
      <xdr:colOff>563562</xdr:colOff>
      <xdr:row>4</xdr:row>
      <xdr:rowOff>119062</xdr:rowOff>
    </xdr:from>
    <xdr:to>
      <xdr:col>18</xdr:col>
      <xdr:colOff>388937</xdr:colOff>
      <xdr:row>7</xdr:row>
      <xdr:rowOff>7936</xdr:rowOff>
    </xdr:to>
    <xdr:pic>
      <xdr:nvPicPr>
        <xdr:cNvPr id="26" name="Graphic 25" descr="Female Profile with solid fill">
          <a:extLst>
            <a:ext uri="{FF2B5EF4-FFF2-40B4-BE49-F238E27FC236}">
              <a16:creationId xmlns:a16="http://schemas.microsoft.com/office/drawing/2014/main" id="{55DD8E1B-6D02-9F10-18EE-E2E749D44D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53750" y="849312"/>
          <a:ext cx="436562" cy="436562"/>
        </a:xfrm>
        <a:prstGeom prst="rect">
          <a:avLst/>
        </a:prstGeom>
      </xdr:spPr>
    </xdr:pic>
    <xdr:clientData/>
  </xdr:twoCellAnchor>
  <xdr:twoCellAnchor editAs="oneCell">
    <xdr:from>
      <xdr:col>0</xdr:col>
      <xdr:colOff>0</xdr:colOff>
      <xdr:row>3</xdr:row>
      <xdr:rowOff>22225</xdr:rowOff>
    </xdr:from>
    <xdr:to>
      <xdr:col>2</xdr:col>
      <xdr:colOff>606425</xdr:colOff>
      <xdr:row>17</xdr:row>
      <xdr:rowOff>134938</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90D2C596-6F69-C527-0B5A-2C762D9926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569913"/>
              <a:ext cx="1828800" cy="266858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uma" refreshedDate="46219.690120486113" createdVersion="8" refreshedVersion="8" minRefreshableVersion="3" recordCount="200" xr:uid="{1598FB2E-FD6E-4796-92D5-49F13C75B12D}">
  <cacheSource type="worksheet">
    <worksheetSource name="Table1"/>
  </cacheSource>
  <cacheFields count="19">
    <cacheField name="Order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OrderDate" numFmtId="14">
      <sharedItems containsSemiMixedTypes="0" containsNonDate="0" containsDate="1" containsString="0" minDate="2025-01-01T00:00:00" maxDate="2025-03-02T00:00:00" count="59">
        <d v="2025-01-03T00:00:00"/>
        <d v="2025-02-22T00:00:00"/>
        <d v="2025-02-26T00:00:00"/>
        <d v="2025-02-14T00:00:00"/>
        <d v="2025-01-12T00:00:00"/>
        <d v="2025-01-30T00:00:00"/>
        <d v="2025-01-04T00:00:00"/>
        <d v="2025-02-17T00:00:00"/>
        <d v="2025-02-05T00:00:00"/>
        <d v="2025-01-09T00:00:00"/>
        <d v="2025-01-23T00:00:00"/>
        <d v="2025-02-25T00:00:00"/>
        <d v="2025-02-12T00:00:00"/>
        <d v="2025-01-27T00:00:00"/>
        <d v="2025-01-13T00:00:00"/>
        <d v="2025-01-14T00:00:00"/>
        <d v="2025-02-18T00:00:00"/>
        <d v="2025-02-21T00:00:00"/>
        <d v="2025-01-31T00:00:00"/>
        <d v="2025-01-26T00:00:00"/>
        <d v="2025-01-22T00:00:00"/>
        <d v="2025-01-20T00:00:00"/>
        <d v="2025-01-25T00:00:00"/>
        <d v="2025-01-11T00:00:00"/>
        <d v="2025-02-15T00:00:00"/>
        <d v="2025-01-18T00:00:00"/>
        <d v="2025-01-17T00:00:00"/>
        <d v="2025-01-16T00:00:00"/>
        <d v="2025-01-01T00:00:00"/>
        <d v="2025-03-01T00:00:00"/>
        <d v="2025-02-08T00:00:00"/>
        <d v="2025-02-03T00:00:00"/>
        <d v="2025-01-24T00:00:00"/>
        <d v="2025-02-06T00:00:00"/>
        <d v="2025-02-16T00:00:00"/>
        <d v="2025-01-06T00:00:00"/>
        <d v="2025-01-29T00:00:00"/>
        <d v="2025-01-10T00:00:00"/>
        <d v="2025-01-21T00:00:00"/>
        <d v="2025-02-01T00:00:00"/>
        <d v="2025-01-02T00:00:00"/>
        <d v="2025-02-02T00:00:00"/>
        <d v="2025-01-19T00:00:00"/>
        <d v="2025-02-07T00:00:00"/>
        <d v="2025-02-09T00:00:00"/>
        <d v="2025-02-27T00:00:00"/>
        <d v="2025-02-28T00:00:00"/>
        <d v="2025-01-28T00:00:00"/>
        <d v="2025-02-19T00:00:00"/>
        <d v="2025-02-20T00:00:00"/>
        <d v="2025-02-11T00:00:00"/>
        <d v="2025-02-10T00:00:00"/>
        <d v="2025-02-23T00:00:00"/>
        <d v="2025-01-08T00:00:00"/>
        <d v="2025-01-05T00:00:00"/>
        <d v="2025-01-15T00:00:00"/>
        <d v="2025-02-24T00:00:00"/>
        <d v="2025-02-13T00:00:00"/>
        <d v="2025-01-07T00:00:00"/>
      </sharedItems>
      <fieldGroup par="18"/>
    </cacheField>
    <cacheField name="Region" numFmtId="0">
      <sharedItems count="4">
        <s v="West"/>
        <s v="North"/>
        <s v="South"/>
        <s v="East"/>
      </sharedItems>
    </cacheField>
    <cacheField name="Category" numFmtId="0">
      <sharedItems count="2">
        <s v="Furniture"/>
        <s v="Electronics"/>
      </sharedItems>
    </cacheField>
    <cacheField name="Product" numFmtId="0">
      <sharedItems count="8">
        <s v="Table"/>
        <s v="Desk"/>
        <s v="Mobile"/>
        <s v="Chair"/>
        <s v="Laptop"/>
        <s v="Headphones"/>
        <s v="Tablet"/>
        <s v="Cupboard"/>
      </sharedItems>
    </cacheField>
    <cacheField name="CustomerName" numFmtId="0">
      <sharedItems/>
    </cacheField>
    <cacheField name="SalesPerson" numFmtId="0">
      <sharedItems count="5">
        <s v="Sneha"/>
        <s v="Farhan"/>
        <s v="Aisha"/>
        <s v="Rahul"/>
        <s v="Nikhil"/>
      </sharedItems>
    </cacheField>
    <cacheField name="Sales" numFmtId="0">
      <sharedItems containsSemiMixedTypes="0" containsString="0" containsNumber="1" containsInteger="1" minValue="3003" maxValue="29811" count="200">
        <n v="5811"/>
        <n v="13553"/>
        <n v="7987"/>
        <n v="3254"/>
        <n v="13732"/>
        <n v="17328"/>
        <n v="16650"/>
        <n v="4964"/>
        <n v="19497"/>
        <n v="29094"/>
        <n v="27904"/>
        <n v="9233"/>
        <n v="27329"/>
        <n v="6994"/>
        <n v="6822"/>
        <n v="14681"/>
        <n v="21800"/>
        <n v="27543"/>
        <n v="8177"/>
        <n v="17261"/>
        <n v="13080"/>
        <n v="12676"/>
        <n v="12995"/>
        <n v="26402"/>
        <n v="20499"/>
        <n v="22507"/>
        <n v="4786"/>
        <n v="26850"/>
        <n v="19466"/>
        <n v="14784"/>
        <n v="28085"/>
        <n v="11264"/>
        <n v="10384"/>
        <n v="13816"/>
        <n v="19945"/>
        <n v="12316"/>
        <n v="5269"/>
        <n v="23738"/>
        <n v="23819"/>
        <n v="4280"/>
        <n v="18083"/>
        <n v="22615"/>
        <n v="16811"/>
        <n v="12859"/>
        <n v="9025"/>
        <n v="27125"/>
        <n v="4910"/>
        <n v="13768"/>
        <n v="28518"/>
        <n v="24630"/>
        <n v="5943"/>
        <n v="12216"/>
        <n v="22306"/>
        <n v="17746"/>
        <n v="17314"/>
        <n v="26570"/>
        <n v="18440"/>
        <n v="18052"/>
        <n v="27796"/>
        <n v="21524"/>
        <n v="17658"/>
        <n v="16751"/>
        <n v="5069"/>
        <n v="29735"/>
        <n v="15491"/>
        <n v="28106"/>
        <n v="23089"/>
        <n v="20026"/>
        <n v="3988"/>
        <n v="9205"/>
        <n v="28902"/>
        <n v="17678"/>
        <n v="26496"/>
        <n v="6369"/>
        <n v="17004"/>
        <n v="5148"/>
        <n v="5919"/>
        <n v="12848"/>
        <n v="12268"/>
        <n v="26582"/>
        <n v="16473"/>
        <n v="25437"/>
        <n v="6512"/>
        <n v="13717"/>
        <n v="16696"/>
        <n v="16152"/>
        <n v="23879"/>
        <n v="19812"/>
        <n v="28689"/>
        <n v="22720"/>
        <n v="21070"/>
        <n v="5006"/>
        <n v="3008"/>
        <n v="16731"/>
        <n v="25721"/>
        <n v="12746"/>
        <n v="17130"/>
        <n v="19263"/>
        <n v="19662"/>
        <n v="25528"/>
        <n v="5348"/>
        <n v="22285"/>
        <n v="17832"/>
        <n v="18659"/>
        <n v="8814"/>
        <n v="18540"/>
        <n v="11682"/>
        <n v="28130"/>
        <n v="12219"/>
        <n v="13169"/>
        <n v="3614"/>
        <n v="27189"/>
        <n v="10537"/>
        <n v="7848"/>
        <n v="27755"/>
        <n v="4181"/>
        <n v="8389"/>
        <n v="5296"/>
        <n v="23944"/>
        <n v="18898"/>
        <n v="13655"/>
        <n v="27432"/>
        <n v="22740"/>
        <n v="20494"/>
        <n v="4689"/>
        <n v="7805"/>
        <n v="29035"/>
        <n v="28977"/>
        <n v="22701"/>
        <n v="19348"/>
        <n v="17249"/>
        <n v="11825"/>
        <n v="17610"/>
        <n v="13456"/>
        <n v="21343"/>
        <n v="16315"/>
        <n v="21957"/>
        <n v="7509"/>
        <n v="28336"/>
        <n v="7967"/>
        <n v="9266"/>
        <n v="18541"/>
        <n v="12290"/>
        <n v="29811"/>
        <n v="3743"/>
        <n v="12655"/>
        <n v="19492"/>
        <n v="23823"/>
        <n v="12233"/>
        <n v="3003"/>
        <n v="21525"/>
        <n v="21312"/>
        <n v="8413"/>
        <n v="4693"/>
        <n v="24941"/>
        <n v="22511"/>
        <n v="13946"/>
        <n v="21242"/>
        <n v="22822"/>
        <n v="14825"/>
        <n v="10106"/>
        <n v="24181"/>
        <n v="8789"/>
        <n v="17609"/>
        <n v="12827"/>
        <n v="7741"/>
        <n v="27959"/>
        <n v="9260"/>
        <n v="23426"/>
        <n v="9672"/>
        <n v="15655"/>
        <n v="4896"/>
        <n v="26624"/>
        <n v="12390"/>
        <n v="16540"/>
        <n v="10981"/>
        <n v="11754"/>
        <n v="19787"/>
        <n v="7183"/>
        <n v="9341"/>
        <n v="17968"/>
        <n v="13825"/>
        <n v="12841"/>
        <n v="15573"/>
        <n v="14137"/>
        <n v="10389"/>
        <n v="17123"/>
        <n v="23457"/>
        <n v="12542"/>
        <n v="11297"/>
        <n v="20988"/>
        <n v="22125"/>
        <n v="24547"/>
        <n v="24450"/>
        <n v="6284"/>
        <n v="12554"/>
        <n v="3970"/>
        <n v="7069"/>
        <n v="17934"/>
        <n v="6437"/>
      </sharedItems>
    </cacheField>
    <cacheField name="Cost" numFmtId="0">
      <sharedItems containsSemiMixedTypes="0" containsString="0" containsNumber="1" containsInteger="1" minValue="2190" maxValue="25660"/>
    </cacheField>
    <cacheField name="Profit" numFmtId="0">
      <sharedItems containsSemiMixedTypes="0" containsString="0" containsNumber="1" containsInteger="1" minValue="447" maxValue="11149"/>
    </cacheField>
    <cacheField name="Profit %" numFmtId="165">
      <sharedItems containsSemiMixedTypes="0" containsString="0" containsNumber="1" minValue="0.10021740655024897" maxValue="0.39876709689847811"/>
    </cacheField>
    <cacheField name="Profit_performance" numFmtId="0">
      <sharedItems/>
    </cacheField>
    <cacheField name="Salary" numFmtId="0">
      <sharedItems containsSemiMixedTypes="0" containsString="0" containsNumber="1" containsInteger="1" minValue="40000" maxValue="47000"/>
    </cacheField>
    <cacheField name="Sales_ratio" numFmtId="2">
      <sharedItems containsSemiMixedTypes="0" containsString="0" containsNumber="1" minValue="1.3452160753321003" maxValue="14.985014985014985"/>
    </cacheField>
    <cacheField name="Comission" numFmtId="2">
      <sharedItems containsSemiMixedTypes="0" containsString="0" containsNumber="1" minValue="187.15" maxValue="2384.88"/>
    </cacheField>
    <cacheField name="Rank" numFmtId="0">
      <sharedItems containsSemiMixedTypes="0" containsString="0" containsNumber="1" containsInteger="1" minValue="1" maxValue="200"/>
    </cacheField>
    <cacheField name="Running_total" numFmtId="0">
      <sharedItems containsSemiMixedTypes="0" containsString="0" containsNumber="1" containsInteger="1" minValue="49160" maxValue="3235200"/>
    </cacheField>
    <cacheField name="Days (OrderDate)" numFmtId="0" databaseField="0">
      <fieldGroup base="1">
        <rangePr groupBy="days" startDate="2025-01-01T00:00:00" endDate="2025-03-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5"/>
        </groupItems>
      </fieldGroup>
    </cacheField>
    <cacheField name="Months (OrderDate)" numFmtId="0" databaseField="0">
      <fieldGroup base="1">
        <rangePr groupBy="months" startDate="2025-01-01T00:00:00" endDate="2025-03-02T00:00:00"/>
        <groupItems count="14">
          <s v="&lt;01/01/2025"/>
          <s v="Jan"/>
          <s v="Feb"/>
          <s v="Mar"/>
          <s v="Apr"/>
          <s v="May"/>
          <s v="Jun"/>
          <s v="Jul"/>
          <s v="Aug"/>
          <s v="Sep"/>
          <s v="Oct"/>
          <s v="Nov"/>
          <s v="Dec"/>
          <s v="&gt;02/03/2025"/>
        </groupItems>
      </fieldGroup>
    </cacheField>
  </cacheFields>
  <extLst>
    <ext xmlns:x14="http://schemas.microsoft.com/office/spreadsheetml/2009/9/main" uri="{725AE2AE-9491-48be-B2B4-4EB974FC3084}">
      <x14:pivotCacheDefinition pivotCacheId="2061334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s v="Customer_16"/>
    <x v="0"/>
    <x v="0"/>
    <n v="5067"/>
    <n v="744"/>
    <n v="0.12803304078471864"/>
    <s v="Poor"/>
    <n v="47000"/>
    <n v="8.0881087592496996"/>
    <n v="464.88"/>
    <n v="179"/>
    <n v="118866"/>
  </r>
  <r>
    <x v="1"/>
    <x v="1"/>
    <x v="1"/>
    <x v="0"/>
    <x v="1"/>
    <s v="Customer_19"/>
    <x v="0"/>
    <x v="1"/>
    <n v="8173"/>
    <n v="5380"/>
    <n v="0.39696008263853022"/>
    <s v="Good"/>
    <n v="47000"/>
    <n v="3.4678668929388325"/>
    <n v="1084.24"/>
    <n v="120"/>
    <n v="2944836"/>
  </r>
  <r>
    <x v="2"/>
    <x v="2"/>
    <x v="2"/>
    <x v="1"/>
    <x v="2"/>
    <s v="Customer_45"/>
    <x v="0"/>
    <x v="2"/>
    <n v="5653"/>
    <n v="2334"/>
    <n v="0.29222486540628523"/>
    <s v="Poor"/>
    <n v="47000"/>
    <n v="5.884562413922624"/>
    <n v="399.35"/>
    <n v="163"/>
    <n v="3096876"/>
  </r>
  <r>
    <x v="3"/>
    <x v="1"/>
    <x v="0"/>
    <x v="0"/>
    <x v="3"/>
    <s v="Customer_30"/>
    <x v="1"/>
    <x v="3"/>
    <n v="2435"/>
    <n v="819"/>
    <n v="0.25169022741241548"/>
    <s v="Poor"/>
    <n v="43000"/>
    <n v="13.214505224339275"/>
    <n v="260.32"/>
    <n v="198"/>
    <n v="2944836"/>
  </r>
  <r>
    <x v="4"/>
    <x v="3"/>
    <x v="2"/>
    <x v="1"/>
    <x v="2"/>
    <s v="Customer_40"/>
    <x v="1"/>
    <x v="4"/>
    <n v="11076"/>
    <n v="2656"/>
    <n v="0.19341683658607631"/>
    <s v="Poor"/>
    <n v="43000"/>
    <n v="3.1313719778619284"/>
    <n v="686.6"/>
    <n v="117"/>
    <n v="2448350"/>
  </r>
  <r>
    <x v="5"/>
    <x v="4"/>
    <x v="2"/>
    <x v="0"/>
    <x v="0"/>
    <s v="Customer_34"/>
    <x v="0"/>
    <x v="5"/>
    <n v="14130"/>
    <n v="3198"/>
    <n v="0.18455678670360109"/>
    <s v="Poor"/>
    <n v="47000"/>
    <n v="2.7123730378578026"/>
    <n v="1386.24"/>
    <n v="90"/>
    <n v="665652"/>
  </r>
  <r>
    <x v="6"/>
    <x v="5"/>
    <x v="1"/>
    <x v="1"/>
    <x v="4"/>
    <s v="Customer_14"/>
    <x v="2"/>
    <x v="6"/>
    <n v="14634"/>
    <n v="2016"/>
    <n v="0.12108108108108108"/>
    <s v="Poor"/>
    <n v="45000"/>
    <n v="2.7027027027027026"/>
    <n v="832.5"/>
    <n v="101"/>
    <n v="1735136"/>
  </r>
  <r>
    <x v="7"/>
    <x v="6"/>
    <x v="2"/>
    <x v="1"/>
    <x v="5"/>
    <s v="Customer_1"/>
    <x v="0"/>
    <x v="7"/>
    <n v="3181"/>
    <n v="1783"/>
    <n v="0.35918614020950845"/>
    <s v="Poor"/>
    <n v="47000"/>
    <n v="9.4681708299758256"/>
    <n v="248.20000000000002"/>
    <n v="186"/>
    <n v="165400"/>
  </r>
  <r>
    <x v="8"/>
    <x v="7"/>
    <x v="1"/>
    <x v="0"/>
    <x v="0"/>
    <s v="Customer_49"/>
    <x v="1"/>
    <x v="8"/>
    <n v="16208"/>
    <n v="3289"/>
    <n v="0.16869261937734009"/>
    <s v="Poor"/>
    <n v="43000"/>
    <n v="2.2054675078217163"/>
    <n v="1559.76"/>
    <n v="70"/>
    <n v="2691046"/>
  </r>
  <r>
    <x v="9"/>
    <x v="8"/>
    <x v="2"/>
    <x v="1"/>
    <x v="6"/>
    <s v="Customer_34"/>
    <x v="3"/>
    <x v="9"/>
    <n v="19174"/>
    <n v="9920"/>
    <n v="0.34096377259916133"/>
    <s v="Good"/>
    <n v="42000"/>
    <n v="1.4435966178593524"/>
    <n v="1454.7"/>
    <n v="3"/>
    <n v="1945841"/>
  </r>
  <r>
    <x v="10"/>
    <x v="9"/>
    <x v="0"/>
    <x v="1"/>
    <x v="2"/>
    <s v="Customer_39"/>
    <x v="4"/>
    <x v="10"/>
    <n v="24463"/>
    <n v="3441"/>
    <n v="0.12331565366972477"/>
    <s v="Poor"/>
    <n v="40000"/>
    <n v="1.4334862385321101"/>
    <n v="1395.2"/>
    <n v="14"/>
    <n v="480218"/>
  </r>
  <r>
    <x v="11"/>
    <x v="10"/>
    <x v="1"/>
    <x v="1"/>
    <x v="5"/>
    <s v="Customer_23"/>
    <x v="2"/>
    <x v="11"/>
    <n v="6766"/>
    <n v="2467"/>
    <n v="0.26719376150763563"/>
    <s v="Poor"/>
    <n v="45000"/>
    <n v="4.8738221596447522"/>
    <n v="461.65000000000003"/>
    <n v="155"/>
    <n v="1349916"/>
  </r>
  <r>
    <x v="12"/>
    <x v="11"/>
    <x v="3"/>
    <x v="0"/>
    <x v="1"/>
    <s v="Customer_38"/>
    <x v="0"/>
    <x v="12"/>
    <n v="18038"/>
    <n v="9291"/>
    <n v="0.33996853159647261"/>
    <s v="Good"/>
    <n v="47000"/>
    <n v="1.7197848439386731"/>
    <n v="2186.3200000000002"/>
    <n v="19"/>
    <n v="3053221"/>
  </r>
  <r>
    <x v="13"/>
    <x v="12"/>
    <x v="0"/>
    <x v="0"/>
    <x v="1"/>
    <s v="Customer_5"/>
    <x v="3"/>
    <x v="13"/>
    <n v="5062"/>
    <n v="1932"/>
    <n v="0.27623677437803834"/>
    <s v="Poor"/>
    <n v="42000"/>
    <n v="6.0051472690877894"/>
    <n v="559.52"/>
    <n v="171"/>
    <n v="2334388"/>
  </r>
  <r>
    <x v="14"/>
    <x v="13"/>
    <x v="3"/>
    <x v="0"/>
    <x v="0"/>
    <s v="Customer_4"/>
    <x v="0"/>
    <x v="14"/>
    <n v="5407"/>
    <n v="1415"/>
    <n v="0.20741717971269422"/>
    <s v="Poor"/>
    <n v="47000"/>
    <n v="6.8894752272060975"/>
    <n v="545.76"/>
    <n v="172"/>
    <n v="1596018"/>
  </r>
  <r>
    <x v="15"/>
    <x v="14"/>
    <x v="3"/>
    <x v="1"/>
    <x v="5"/>
    <s v="Customer_39"/>
    <x v="1"/>
    <x v="15"/>
    <n v="11778"/>
    <n v="2903"/>
    <n v="0.19773857366664396"/>
    <s v="Poor"/>
    <n v="43000"/>
    <n v="2.928955793202098"/>
    <n v="734.05000000000007"/>
    <n v="111"/>
    <n v="757644"/>
  </r>
  <r>
    <x v="16"/>
    <x v="15"/>
    <x v="0"/>
    <x v="1"/>
    <x v="4"/>
    <s v="Customer_10"/>
    <x v="2"/>
    <x v="16"/>
    <n v="16672"/>
    <n v="5128"/>
    <n v="0.23522935779816515"/>
    <s v="Good"/>
    <n v="45000"/>
    <n v="2.0642201834862384"/>
    <n v="1090"/>
    <n v="55"/>
    <n v="841403"/>
  </r>
  <r>
    <x v="17"/>
    <x v="16"/>
    <x v="3"/>
    <x v="1"/>
    <x v="5"/>
    <s v="Customer_23"/>
    <x v="4"/>
    <x v="17"/>
    <n v="21241"/>
    <n v="6302"/>
    <n v="0.22880586718948553"/>
    <s v="Good"/>
    <n v="40000"/>
    <n v="1.4522746251316123"/>
    <n v="1377.15"/>
    <n v="17"/>
    <n v="2761759"/>
  </r>
  <r>
    <x v="18"/>
    <x v="17"/>
    <x v="2"/>
    <x v="0"/>
    <x v="7"/>
    <s v="Customer_45"/>
    <x v="2"/>
    <x v="18"/>
    <n v="6277"/>
    <n v="1900"/>
    <n v="0.23235905588846764"/>
    <s v="Poor"/>
    <n v="45000"/>
    <n v="5.5032407973584441"/>
    <n v="654.16"/>
    <n v="162"/>
    <n v="2860992"/>
  </r>
  <r>
    <x v="19"/>
    <x v="18"/>
    <x v="1"/>
    <x v="1"/>
    <x v="6"/>
    <s v="Customer_22"/>
    <x v="3"/>
    <x v="19"/>
    <n v="14516"/>
    <n v="2745"/>
    <n v="0.15902902496958463"/>
    <s v="Poor"/>
    <n v="42000"/>
    <n v="2.4332309831411854"/>
    <n v="863.05000000000007"/>
    <n v="92"/>
    <n v="1789203"/>
  </r>
  <r>
    <x v="20"/>
    <x v="10"/>
    <x v="3"/>
    <x v="1"/>
    <x v="4"/>
    <s v="Customer_25"/>
    <x v="2"/>
    <x v="20"/>
    <n v="11394"/>
    <n v="1686"/>
    <n v="0.12889908256880733"/>
    <s v="Poor"/>
    <n v="45000"/>
    <n v="3.4403669724770642"/>
    <n v="654"/>
    <n v="123"/>
    <n v="1349916"/>
  </r>
  <r>
    <x v="21"/>
    <x v="19"/>
    <x v="0"/>
    <x v="0"/>
    <x v="1"/>
    <s v="Customer_31"/>
    <x v="3"/>
    <x v="21"/>
    <n v="8182"/>
    <n v="4494"/>
    <n v="0.35452824234774377"/>
    <s v="Poor"/>
    <n v="42000"/>
    <n v="3.3133480593247082"/>
    <n v="1014.08"/>
    <n v="130"/>
    <n v="1589196"/>
  </r>
  <r>
    <x v="22"/>
    <x v="20"/>
    <x v="0"/>
    <x v="0"/>
    <x v="3"/>
    <s v="Customer_31"/>
    <x v="0"/>
    <x v="22"/>
    <n v="10838"/>
    <n v="2157"/>
    <n v="0.16598691804540208"/>
    <s v="Poor"/>
    <n v="47000"/>
    <n v="3.6167756829549829"/>
    <n v="1039.5999999999999"/>
    <n v="124"/>
    <n v="1247618"/>
  </r>
  <r>
    <x v="23"/>
    <x v="2"/>
    <x v="2"/>
    <x v="0"/>
    <x v="1"/>
    <s v="Customer_3"/>
    <x v="3"/>
    <x v="23"/>
    <n v="22809"/>
    <n v="3593"/>
    <n v="0.13608817513824711"/>
    <s v="Poor"/>
    <n v="42000"/>
    <n v="1.590788576622983"/>
    <n v="2112.16"/>
    <n v="27"/>
    <n v="3096876"/>
  </r>
  <r>
    <x v="24"/>
    <x v="21"/>
    <x v="2"/>
    <x v="1"/>
    <x v="5"/>
    <s v="Customer_8"/>
    <x v="3"/>
    <x v="24"/>
    <n v="13107"/>
    <n v="7392"/>
    <n v="0.36060295624176791"/>
    <s v="Good"/>
    <n v="42000"/>
    <n v="2.0488804331918629"/>
    <n v="1024.95"/>
    <n v="63"/>
    <n v="1137341"/>
  </r>
  <r>
    <x v="25"/>
    <x v="22"/>
    <x v="3"/>
    <x v="0"/>
    <x v="0"/>
    <s v="Customer_18"/>
    <x v="4"/>
    <x v="25"/>
    <n v="15607"/>
    <n v="6900"/>
    <n v="0.30657128893233215"/>
    <s v="Good"/>
    <n v="40000"/>
    <n v="1.7772248633758387"/>
    <n v="1800.56"/>
    <n v="50"/>
    <n v="1502635"/>
  </r>
  <r>
    <x v="26"/>
    <x v="3"/>
    <x v="3"/>
    <x v="0"/>
    <x v="3"/>
    <s v="Customer_3"/>
    <x v="4"/>
    <x v="26"/>
    <n v="3412"/>
    <n v="1374"/>
    <n v="0.28708733806936898"/>
    <s v="Poor"/>
    <n v="40000"/>
    <n v="8.3577099874634353"/>
    <n v="382.88"/>
    <n v="189"/>
    <n v="2448350"/>
  </r>
  <r>
    <x v="27"/>
    <x v="23"/>
    <x v="0"/>
    <x v="1"/>
    <x v="4"/>
    <s v="Customer_22"/>
    <x v="2"/>
    <x v="27"/>
    <n v="20892"/>
    <n v="5958"/>
    <n v="0.22189944134078213"/>
    <s v="Good"/>
    <n v="45000"/>
    <n v="1.6759776536312849"/>
    <n v="1342.5"/>
    <n v="22"/>
    <n v="550830"/>
  </r>
  <r>
    <x v="28"/>
    <x v="5"/>
    <x v="3"/>
    <x v="1"/>
    <x v="2"/>
    <s v="Customer_12"/>
    <x v="1"/>
    <x v="28"/>
    <n v="17460"/>
    <n v="2006"/>
    <n v="0.10305147436556046"/>
    <s v="Poor"/>
    <n v="43000"/>
    <n v="2.2089797595808074"/>
    <n v="973.30000000000007"/>
    <n v="72"/>
    <n v="1735136"/>
  </r>
  <r>
    <x v="29"/>
    <x v="24"/>
    <x v="0"/>
    <x v="0"/>
    <x v="1"/>
    <s v="Customer_23"/>
    <x v="4"/>
    <x v="29"/>
    <n v="9723"/>
    <n v="5061"/>
    <n v="0.34232954545454547"/>
    <s v="Good"/>
    <n v="40000"/>
    <n v="2.7056277056277058"/>
    <n v="1182.72"/>
    <n v="110"/>
    <n v="2463134"/>
  </r>
  <r>
    <x v="30"/>
    <x v="14"/>
    <x v="0"/>
    <x v="1"/>
    <x v="5"/>
    <s v="Customer_13"/>
    <x v="4"/>
    <x v="30"/>
    <n v="22509"/>
    <n v="5576"/>
    <n v="0.19854014598540146"/>
    <s v="Good"/>
    <n v="40000"/>
    <n v="1.424247819120527"/>
    <n v="1404.25"/>
    <n v="12"/>
    <n v="757644"/>
  </r>
  <r>
    <x v="31"/>
    <x v="25"/>
    <x v="3"/>
    <x v="1"/>
    <x v="4"/>
    <s v="Customer_15"/>
    <x v="3"/>
    <x v="31"/>
    <n v="9957"/>
    <n v="1307"/>
    <n v="0.11603338068181818"/>
    <s v="Poor"/>
    <n v="42000"/>
    <n v="3.7286931818181817"/>
    <n v="563.20000000000005"/>
    <n v="145"/>
    <n v="980127"/>
  </r>
  <r>
    <x v="32"/>
    <x v="10"/>
    <x v="2"/>
    <x v="1"/>
    <x v="5"/>
    <s v="Customer_25"/>
    <x v="2"/>
    <x v="32"/>
    <n v="7534"/>
    <n v="2850"/>
    <n v="0.2744607087827427"/>
    <s v="Poor"/>
    <n v="45000"/>
    <n v="4.3335901386748841"/>
    <n v="519.20000000000005"/>
    <n v="149"/>
    <n v="1349916"/>
  </r>
  <r>
    <x v="33"/>
    <x v="26"/>
    <x v="1"/>
    <x v="1"/>
    <x v="2"/>
    <s v="Customer_5"/>
    <x v="3"/>
    <x v="33"/>
    <n v="9688"/>
    <n v="4128"/>
    <n v="0.29878401852924147"/>
    <s v="Poor"/>
    <n v="42000"/>
    <n v="3.039953676896352"/>
    <n v="690.80000000000007"/>
    <n v="115"/>
    <n v="947177"/>
  </r>
  <r>
    <x v="34"/>
    <x v="27"/>
    <x v="0"/>
    <x v="0"/>
    <x v="1"/>
    <s v="Customer_32"/>
    <x v="0"/>
    <x v="34"/>
    <n v="17781"/>
    <n v="2164"/>
    <n v="0.10849837051892705"/>
    <s v="Poor"/>
    <n v="47000"/>
    <n v="2.3564803208824268"/>
    <n v="1595.6000000000001"/>
    <n v="66"/>
    <n v="933361"/>
  </r>
  <r>
    <x v="35"/>
    <x v="11"/>
    <x v="0"/>
    <x v="0"/>
    <x v="1"/>
    <s v="Customer_4"/>
    <x v="2"/>
    <x v="35"/>
    <n v="10577"/>
    <n v="1739"/>
    <n v="0.14119844105228971"/>
    <s v="Poor"/>
    <n v="45000"/>
    <n v="3.6537836960051964"/>
    <n v="985.28"/>
    <n v="135"/>
    <n v="3053221"/>
  </r>
  <r>
    <x v="36"/>
    <x v="28"/>
    <x v="0"/>
    <x v="1"/>
    <x v="4"/>
    <s v="Customer_28"/>
    <x v="3"/>
    <x v="36"/>
    <n v="3833"/>
    <n v="1436"/>
    <n v="0.27253748339343331"/>
    <s v="Poor"/>
    <n v="42000"/>
    <n v="7.9711520212564055"/>
    <n v="263.45"/>
    <n v="182"/>
    <n v="49160"/>
  </r>
  <r>
    <x v="37"/>
    <x v="6"/>
    <x v="1"/>
    <x v="0"/>
    <x v="1"/>
    <s v="Customer_22"/>
    <x v="3"/>
    <x v="37"/>
    <n v="16560"/>
    <n v="7178"/>
    <n v="0.30238436262532647"/>
    <s v="Good"/>
    <n v="42000"/>
    <n v="1.7693150223270706"/>
    <n v="1899.04"/>
    <n v="40"/>
    <n v="165400"/>
  </r>
  <r>
    <x v="38"/>
    <x v="29"/>
    <x v="3"/>
    <x v="0"/>
    <x v="0"/>
    <s v="Customer_14"/>
    <x v="1"/>
    <x v="38"/>
    <n v="17508"/>
    <n v="6311"/>
    <n v="0.26495654729417689"/>
    <s v="Good"/>
    <n v="43000"/>
    <n v="1.8052814979638103"/>
    <n v="1905.52"/>
    <n v="39"/>
    <n v="3235200"/>
  </r>
  <r>
    <x v="39"/>
    <x v="30"/>
    <x v="1"/>
    <x v="1"/>
    <x v="4"/>
    <s v="Customer_38"/>
    <x v="1"/>
    <x v="39"/>
    <n v="2925"/>
    <n v="1355"/>
    <n v="0.31658878504672899"/>
    <s v="Poor"/>
    <n v="43000"/>
    <n v="10.046728971962617"/>
    <n v="214"/>
    <n v="192"/>
    <n v="2074177"/>
  </r>
  <r>
    <x v="40"/>
    <x v="31"/>
    <x v="2"/>
    <x v="1"/>
    <x v="4"/>
    <s v="Customer_37"/>
    <x v="3"/>
    <x v="40"/>
    <n v="13861"/>
    <n v="4222"/>
    <n v="0.23347895813747718"/>
    <s v="Poor"/>
    <n v="42000"/>
    <n v="2.3226234584969307"/>
    <n v="904.15000000000009"/>
    <n v="80"/>
    <n v="1908942"/>
  </r>
  <r>
    <x v="41"/>
    <x v="32"/>
    <x v="1"/>
    <x v="0"/>
    <x v="1"/>
    <s v="Customer_3"/>
    <x v="0"/>
    <x v="41"/>
    <n v="14629"/>
    <n v="7986"/>
    <n v="0.35312845456555386"/>
    <s v="Good"/>
    <n v="47000"/>
    <n v="2.0782666371877072"/>
    <n v="1809.2"/>
    <n v="48"/>
    <n v="1463299"/>
  </r>
  <r>
    <x v="42"/>
    <x v="23"/>
    <x v="2"/>
    <x v="1"/>
    <x v="6"/>
    <s v="Customer_16"/>
    <x v="3"/>
    <x v="42"/>
    <n v="13746"/>
    <n v="3065"/>
    <n v="0.18232109928023318"/>
    <s v="Poor"/>
    <n v="42000"/>
    <n v="2.4983641663196718"/>
    <n v="840.55000000000007"/>
    <n v="97"/>
    <n v="550830"/>
  </r>
  <r>
    <x v="43"/>
    <x v="22"/>
    <x v="3"/>
    <x v="0"/>
    <x v="3"/>
    <s v="Customer_28"/>
    <x v="0"/>
    <x v="43"/>
    <n v="8499"/>
    <n v="4360"/>
    <n v="0.33906213546932112"/>
    <s v="Poor"/>
    <n v="47000"/>
    <n v="3.6550276071234156"/>
    <n v="1028.72"/>
    <n v="125"/>
    <n v="1502635"/>
  </r>
  <r>
    <x v="44"/>
    <x v="33"/>
    <x v="3"/>
    <x v="1"/>
    <x v="5"/>
    <s v="Customer_10"/>
    <x v="3"/>
    <x v="44"/>
    <n v="5975"/>
    <n v="3050"/>
    <n v="0.33795013850415512"/>
    <s v="Poor"/>
    <n v="42000"/>
    <n v="4.6537396121883656"/>
    <n v="451.25"/>
    <n v="157"/>
    <n v="1993799"/>
  </r>
  <r>
    <x v="45"/>
    <x v="34"/>
    <x v="1"/>
    <x v="0"/>
    <x v="7"/>
    <s v="Customer_32"/>
    <x v="4"/>
    <x v="45"/>
    <n v="24151"/>
    <n v="2974"/>
    <n v="0.1096405529953917"/>
    <s v="Poor"/>
    <n v="40000"/>
    <n v="1.4746543778801844"/>
    <n v="2170"/>
    <n v="21"/>
    <n v="2568758"/>
  </r>
  <r>
    <x v="46"/>
    <x v="35"/>
    <x v="3"/>
    <x v="1"/>
    <x v="6"/>
    <s v="Customer_28"/>
    <x v="2"/>
    <x v="46"/>
    <n v="3805"/>
    <n v="1105"/>
    <n v="0.225050916496945"/>
    <s v="Poor"/>
    <n v="45000"/>
    <n v="9.1649694501018324"/>
    <n v="245.5"/>
    <n v="187"/>
    <n v="314278"/>
  </r>
  <r>
    <x v="47"/>
    <x v="5"/>
    <x v="2"/>
    <x v="0"/>
    <x v="7"/>
    <s v="Customer_13"/>
    <x v="3"/>
    <x v="47"/>
    <n v="10313"/>
    <n v="3455"/>
    <n v="0.25094421847762927"/>
    <s v="Poor"/>
    <n v="42000"/>
    <n v="3.05055200464846"/>
    <n v="1101.44"/>
    <n v="116"/>
    <n v="1735136"/>
  </r>
  <r>
    <x v="48"/>
    <x v="32"/>
    <x v="2"/>
    <x v="0"/>
    <x v="1"/>
    <s v="Customer_25"/>
    <x v="4"/>
    <x v="48"/>
    <n v="25660"/>
    <n v="2858"/>
    <n v="0.10021740655024897"/>
    <s v="Poor"/>
    <n v="40000"/>
    <n v="1.402622904832036"/>
    <n v="2281.44"/>
    <n v="8"/>
    <n v="1463299"/>
  </r>
  <r>
    <x v="49"/>
    <x v="16"/>
    <x v="3"/>
    <x v="0"/>
    <x v="0"/>
    <s v="Customer_37"/>
    <x v="2"/>
    <x v="49"/>
    <n v="16859"/>
    <n v="7771"/>
    <n v="0.3155095412099066"/>
    <s v="Good"/>
    <n v="45000"/>
    <n v="1.8270401948842874"/>
    <n v="1970.4"/>
    <n v="32"/>
    <n v="2761759"/>
  </r>
  <r>
    <x v="50"/>
    <x v="36"/>
    <x v="2"/>
    <x v="1"/>
    <x v="2"/>
    <s v="Customer_40"/>
    <x v="3"/>
    <x v="50"/>
    <n v="4384"/>
    <n v="1559"/>
    <n v="0.26232542486959448"/>
    <s v="Poor"/>
    <n v="42000"/>
    <n v="7.0671378091872787"/>
    <n v="297.15000000000003"/>
    <n v="177"/>
    <n v="1678740"/>
  </r>
  <r>
    <x v="51"/>
    <x v="12"/>
    <x v="0"/>
    <x v="0"/>
    <x v="7"/>
    <s v="Customer_32"/>
    <x v="0"/>
    <x v="51"/>
    <n v="8895"/>
    <n v="3321"/>
    <n v="0.27185658153241649"/>
    <s v="Poor"/>
    <n v="47000"/>
    <n v="3.8474132285527176"/>
    <n v="977.28"/>
    <n v="140"/>
    <n v="2334388"/>
  </r>
  <r>
    <x v="52"/>
    <x v="4"/>
    <x v="1"/>
    <x v="0"/>
    <x v="7"/>
    <s v="Customer_1"/>
    <x v="2"/>
    <x v="52"/>
    <n v="15746"/>
    <n v="6560"/>
    <n v="0.29409127588989509"/>
    <s v="Good"/>
    <n v="45000"/>
    <n v="2.0173944230251952"/>
    <n v="1784.48"/>
    <n v="51"/>
    <n v="665652"/>
  </r>
  <r>
    <x v="53"/>
    <x v="37"/>
    <x v="2"/>
    <x v="0"/>
    <x v="1"/>
    <s v="Customer_45"/>
    <x v="1"/>
    <x v="53"/>
    <n v="11244"/>
    <n v="6502"/>
    <n v="0.36639242646230136"/>
    <s v="Good"/>
    <n v="43000"/>
    <n v="2.4230812577482248"/>
    <n v="1419.68"/>
    <n v="85"/>
    <n v="497964"/>
  </r>
  <r>
    <x v="54"/>
    <x v="29"/>
    <x v="0"/>
    <x v="1"/>
    <x v="6"/>
    <s v="Customer_38"/>
    <x v="2"/>
    <x v="54"/>
    <n v="12062"/>
    <n v="5252"/>
    <n v="0.30333833891648376"/>
    <s v="Good"/>
    <n v="45000"/>
    <n v="2.5990527896499942"/>
    <n v="865.7"/>
    <n v="91"/>
    <n v="3235200"/>
  </r>
  <r>
    <x v="55"/>
    <x v="38"/>
    <x v="2"/>
    <x v="0"/>
    <x v="0"/>
    <s v="Customer_18"/>
    <x v="3"/>
    <x v="55"/>
    <n v="20277"/>
    <n v="6293"/>
    <n v="0.23684606699284907"/>
    <s v="Good"/>
    <n v="42000"/>
    <n v="1.5807301467820851"/>
    <n v="2125.6"/>
    <n v="25"/>
    <n v="1191668"/>
  </r>
  <r>
    <x v="56"/>
    <x v="27"/>
    <x v="0"/>
    <x v="0"/>
    <x v="7"/>
    <s v="Customer_50"/>
    <x v="4"/>
    <x v="56"/>
    <n v="14772"/>
    <n v="3668"/>
    <n v="0.19891540130151844"/>
    <s v="Poor"/>
    <n v="40000"/>
    <n v="2.1691973969631237"/>
    <n v="1475.2"/>
    <n v="79"/>
    <n v="933361"/>
  </r>
  <r>
    <x v="57"/>
    <x v="21"/>
    <x v="2"/>
    <x v="0"/>
    <x v="3"/>
    <s v="Customer_50"/>
    <x v="2"/>
    <x v="57"/>
    <n v="16236"/>
    <n v="1816"/>
    <n v="0.10059827165964991"/>
    <s v="Poor"/>
    <n v="45000"/>
    <n v="2.4927985818745846"/>
    <n v="1444.16"/>
    <n v="81"/>
    <n v="1137341"/>
  </r>
  <r>
    <x v="58"/>
    <x v="0"/>
    <x v="1"/>
    <x v="1"/>
    <x v="5"/>
    <s v="Customer_30"/>
    <x v="2"/>
    <x v="58"/>
    <n v="18235"/>
    <n v="9561"/>
    <n v="0.34397035544682686"/>
    <s v="Good"/>
    <n v="45000"/>
    <n v="1.6189379766872931"/>
    <n v="1389.8000000000002"/>
    <n v="15"/>
    <n v="118866"/>
  </r>
  <r>
    <x v="59"/>
    <x v="19"/>
    <x v="0"/>
    <x v="0"/>
    <x v="1"/>
    <s v="Customer_46"/>
    <x v="1"/>
    <x v="59"/>
    <n v="14147"/>
    <n v="7377"/>
    <n v="0.34273369262218917"/>
    <s v="Good"/>
    <n v="43000"/>
    <n v="1.9977699312395465"/>
    <n v="1721.92"/>
    <n v="57"/>
    <n v="1589196"/>
  </r>
  <r>
    <x v="60"/>
    <x v="39"/>
    <x v="0"/>
    <x v="1"/>
    <x v="2"/>
    <s v="Customer_9"/>
    <x v="0"/>
    <x v="60"/>
    <n v="11884"/>
    <n v="5774"/>
    <n v="0.32699059916185297"/>
    <s v="Good"/>
    <n v="47000"/>
    <n v="2.6616830898176462"/>
    <n v="882.90000000000009"/>
    <n v="87"/>
    <n v="1845453"/>
  </r>
  <r>
    <x v="61"/>
    <x v="40"/>
    <x v="2"/>
    <x v="1"/>
    <x v="6"/>
    <s v="Customer_21"/>
    <x v="3"/>
    <x v="61"/>
    <n v="12144"/>
    <n v="4607"/>
    <n v="0.27502835651602892"/>
    <s v="Poor"/>
    <n v="42000"/>
    <n v="2.5073129962390306"/>
    <n v="837.55000000000007"/>
    <n v="98"/>
    <n v="85259"/>
  </r>
  <r>
    <x v="62"/>
    <x v="35"/>
    <x v="2"/>
    <x v="1"/>
    <x v="6"/>
    <s v="Customer_34"/>
    <x v="0"/>
    <x v="62"/>
    <n v="3665"/>
    <n v="1404"/>
    <n v="0.27697770763464197"/>
    <s v="Poor"/>
    <n v="47000"/>
    <n v="9.2720457683961328"/>
    <n v="253.45000000000002"/>
    <n v="184"/>
    <n v="314278"/>
  </r>
  <r>
    <x v="63"/>
    <x v="34"/>
    <x v="3"/>
    <x v="0"/>
    <x v="1"/>
    <s v="Customer_7"/>
    <x v="4"/>
    <x v="63"/>
    <n v="24687"/>
    <n v="5048"/>
    <n v="0.16976626870691106"/>
    <s v="Good"/>
    <n v="40000"/>
    <n v="1.3452160753321003"/>
    <n v="2378.8000000000002"/>
    <n v="2"/>
    <n v="2568758"/>
  </r>
  <r>
    <x v="64"/>
    <x v="14"/>
    <x v="2"/>
    <x v="0"/>
    <x v="3"/>
    <s v="Customer_6"/>
    <x v="4"/>
    <x v="64"/>
    <n v="9853"/>
    <n v="5638"/>
    <n v="0.3639532631850752"/>
    <s v="Good"/>
    <n v="40000"/>
    <n v="2.5821444709831516"/>
    <n v="1239.28"/>
    <n v="108"/>
    <n v="757644"/>
  </r>
  <r>
    <x v="65"/>
    <x v="11"/>
    <x v="2"/>
    <x v="0"/>
    <x v="1"/>
    <s v="Customer_47"/>
    <x v="3"/>
    <x v="65"/>
    <n v="25013"/>
    <n v="3093"/>
    <n v="0.11004767665267202"/>
    <s v="Poor"/>
    <n v="42000"/>
    <n v="1.49434284494414"/>
    <n v="2248.48"/>
    <n v="11"/>
    <n v="3053221"/>
  </r>
  <r>
    <x v="66"/>
    <x v="18"/>
    <x v="1"/>
    <x v="1"/>
    <x v="5"/>
    <s v="Customer_50"/>
    <x v="4"/>
    <x v="66"/>
    <n v="19254"/>
    <n v="3835"/>
    <n v="0.16609640954567109"/>
    <s v="Poor"/>
    <n v="40000"/>
    <n v="1.7324266966953961"/>
    <n v="1154.45"/>
    <n v="43"/>
    <n v="1789203"/>
  </r>
  <r>
    <x v="67"/>
    <x v="38"/>
    <x v="1"/>
    <x v="1"/>
    <x v="6"/>
    <s v="Customer_40"/>
    <x v="1"/>
    <x v="67"/>
    <n v="17984"/>
    <n v="2042"/>
    <n v="0.10196744232497752"/>
    <s v="Poor"/>
    <n v="43000"/>
    <n v="2.1472086287825825"/>
    <n v="1001.3000000000001"/>
    <n v="65"/>
    <n v="1191668"/>
  </r>
  <r>
    <x v="68"/>
    <x v="38"/>
    <x v="0"/>
    <x v="1"/>
    <x v="4"/>
    <s v="Customer_23"/>
    <x v="0"/>
    <x v="68"/>
    <n v="2714"/>
    <n v="1274"/>
    <n v="0.31945837512537612"/>
    <s v="Poor"/>
    <n v="47000"/>
    <n v="11.785356068204614"/>
    <n v="199.4"/>
    <n v="194"/>
    <n v="1191668"/>
  </r>
  <r>
    <x v="69"/>
    <x v="23"/>
    <x v="2"/>
    <x v="0"/>
    <x v="7"/>
    <s v="Customer_30"/>
    <x v="1"/>
    <x v="69"/>
    <n v="8026"/>
    <n v="1179"/>
    <n v="0.12808256382400868"/>
    <s v="Poor"/>
    <n v="43000"/>
    <n v="4.6713742531233029"/>
    <n v="736.4"/>
    <n v="156"/>
    <n v="550830"/>
  </r>
  <r>
    <x v="70"/>
    <x v="4"/>
    <x v="3"/>
    <x v="1"/>
    <x v="4"/>
    <s v="Customer_49"/>
    <x v="2"/>
    <x v="70"/>
    <n v="19105"/>
    <n v="9797"/>
    <n v="0.3389730814476507"/>
    <s v="Good"/>
    <n v="45000"/>
    <n v="1.5569856757317833"/>
    <n v="1445.1000000000001"/>
    <n v="6"/>
    <n v="665652"/>
  </r>
  <r>
    <x v="71"/>
    <x v="41"/>
    <x v="3"/>
    <x v="1"/>
    <x v="4"/>
    <s v="Customer_27"/>
    <x v="1"/>
    <x v="71"/>
    <n v="14746"/>
    <n v="2932"/>
    <n v="0.16585586604819549"/>
    <s v="Poor"/>
    <n v="43000"/>
    <n v="2.4324018554135085"/>
    <n v="883.90000000000009"/>
    <n v="86"/>
    <n v="1869415"/>
  </r>
  <r>
    <x v="72"/>
    <x v="42"/>
    <x v="0"/>
    <x v="1"/>
    <x v="5"/>
    <s v="Customer_28"/>
    <x v="4"/>
    <x v="72"/>
    <n v="23793"/>
    <n v="2703"/>
    <n v="0.10201539855072464"/>
    <s v="Poor"/>
    <n v="40000"/>
    <n v="1.5096618357487923"/>
    <n v="1324.8000000000002"/>
    <n v="26"/>
    <n v="1012542"/>
  </r>
  <r>
    <x v="73"/>
    <x v="3"/>
    <x v="1"/>
    <x v="1"/>
    <x v="6"/>
    <s v="Customer_44"/>
    <x v="1"/>
    <x v="73"/>
    <n v="5405"/>
    <n v="964"/>
    <n v="0.1513581409954467"/>
    <s v="Poor"/>
    <n v="43000"/>
    <n v="6.7514523473072696"/>
    <n v="318.45000000000005"/>
    <n v="175"/>
    <n v="2448350"/>
  </r>
  <r>
    <x v="74"/>
    <x v="14"/>
    <x v="0"/>
    <x v="1"/>
    <x v="2"/>
    <s v="Customer_30"/>
    <x v="4"/>
    <x v="74"/>
    <n v="10698"/>
    <n v="6306"/>
    <n v="0.37085391672547635"/>
    <s v="Good"/>
    <n v="40000"/>
    <n v="2.3523876734885909"/>
    <n v="850.2"/>
    <n v="96"/>
    <n v="757644"/>
  </r>
  <r>
    <x v="75"/>
    <x v="43"/>
    <x v="0"/>
    <x v="0"/>
    <x v="0"/>
    <s v="Customer_31"/>
    <x v="2"/>
    <x v="75"/>
    <n v="3856"/>
    <n v="1292"/>
    <n v="0.25097125097125095"/>
    <s v="Poor"/>
    <n v="45000"/>
    <n v="8.7412587412587417"/>
    <n v="411.84000000000003"/>
    <n v="183"/>
    <n v="2014845"/>
  </r>
  <r>
    <x v="76"/>
    <x v="42"/>
    <x v="0"/>
    <x v="1"/>
    <x v="4"/>
    <s v="Customer_24"/>
    <x v="3"/>
    <x v="76"/>
    <n v="5047"/>
    <n v="872"/>
    <n v="0.14732218280114884"/>
    <s v="Poor"/>
    <n v="42000"/>
    <n v="7.0957932083122151"/>
    <n v="295.95"/>
    <n v="178"/>
    <n v="1012542"/>
  </r>
  <r>
    <x v="77"/>
    <x v="30"/>
    <x v="0"/>
    <x v="0"/>
    <x v="7"/>
    <s v="Customer_46"/>
    <x v="3"/>
    <x v="77"/>
    <n v="10792"/>
    <n v="2056"/>
    <n v="0.16002490660024907"/>
    <s v="Poor"/>
    <n v="42000"/>
    <n v="3.268991282689913"/>
    <n v="1027.8399999999999"/>
    <n v="126"/>
    <n v="2074177"/>
  </r>
  <r>
    <x v="78"/>
    <x v="35"/>
    <x v="3"/>
    <x v="0"/>
    <x v="7"/>
    <s v="Customer_5"/>
    <x v="1"/>
    <x v="78"/>
    <n v="8818"/>
    <n v="3450"/>
    <n v="0.28121943267036192"/>
    <s v="Poor"/>
    <n v="43000"/>
    <n v="3.5050537985001631"/>
    <n v="981.44"/>
    <n v="137"/>
    <n v="314278"/>
  </r>
  <r>
    <x v="79"/>
    <x v="7"/>
    <x v="3"/>
    <x v="1"/>
    <x v="5"/>
    <s v="Customer_4"/>
    <x v="1"/>
    <x v="79"/>
    <n v="19041"/>
    <n v="7541"/>
    <n v="0.2836882100669626"/>
    <s v="Good"/>
    <n v="43000"/>
    <n v="1.6176359942818448"/>
    <n v="1329.1000000000001"/>
    <n v="24"/>
    <n v="2691046"/>
  </r>
  <r>
    <x v="80"/>
    <x v="44"/>
    <x v="0"/>
    <x v="1"/>
    <x v="4"/>
    <s v="Customer_14"/>
    <x v="3"/>
    <x v="80"/>
    <n v="14646"/>
    <n v="1827"/>
    <n v="0.11090875978874522"/>
    <s v="Poor"/>
    <n v="42000"/>
    <n v="2.549626661810235"/>
    <n v="823.65000000000009"/>
    <n v="103"/>
    <n v="2181315"/>
  </r>
  <r>
    <x v="81"/>
    <x v="10"/>
    <x v="2"/>
    <x v="1"/>
    <x v="2"/>
    <s v="Customer_28"/>
    <x v="1"/>
    <x v="81"/>
    <n v="18625"/>
    <n v="6812"/>
    <n v="0.26779887565357552"/>
    <s v="Good"/>
    <n v="43000"/>
    <n v="1.6904509179541614"/>
    <n v="1271.8500000000001"/>
    <n v="30"/>
    <n v="1349916"/>
  </r>
  <r>
    <x v="82"/>
    <x v="5"/>
    <x v="1"/>
    <x v="1"/>
    <x v="6"/>
    <s v="Customer_2"/>
    <x v="0"/>
    <x v="82"/>
    <n v="4039"/>
    <n v="2473"/>
    <n v="0.37976044226044225"/>
    <s v="Poor"/>
    <n v="47000"/>
    <n v="7.2174447174447174"/>
    <n v="325.60000000000002"/>
    <n v="173"/>
    <n v="1735136"/>
  </r>
  <r>
    <x v="83"/>
    <x v="18"/>
    <x v="2"/>
    <x v="1"/>
    <x v="4"/>
    <s v="Customer_38"/>
    <x v="4"/>
    <x v="83"/>
    <n v="9719"/>
    <n v="3998"/>
    <n v="0.29146314791864109"/>
    <s v="Poor"/>
    <n v="40000"/>
    <n v="2.9160895239483851"/>
    <n v="685.85"/>
    <n v="118"/>
    <n v="1789203"/>
  </r>
  <r>
    <x v="84"/>
    <x v="19"/>
    <x v="0"/>
    <x v="0"/>
    <x v="0"/>
    <s v="Customer_39"/>
    <x v="4"/>
    <x v="84"/>
    <n v="12537"/>
    <n v="4159"/>
    <n v="0.24910158121705797"/>
    <s v="Poor"/>
    <n v="40000"/>
    <n v="2.3957834211787254"/>
    <n v="1335.68"/>
    <n v="100"/>
    <n v="1589196"/>
  </r>
  <r>
    <x v="85"/>
    <x v="12"/>
    <x v="0"/>
    <x v="1"/>
    <x v="6"/>
    <s v="Customer_12"/>
    <x v="0"/>
    <x v="85"/>
    <n v="13688"/>
    <n v="2464"/>
    <n v="0.15255076770678555"/>
    <s v="Poor"/>
    <n v="47000"/>
    <n v="2.9098563645368993"/>
    <n v="807.6"/>
    <n v="105"/>
    <n v="2334388"/>
  </r>
  <r>
    <x v="86"/>
    <x v="7"/>
    <x v="0"/>
    <x v="1"/>
    <x v="6"/>
    <s v="Customer_13"/>
    <x v="4"/>
    <x v="86"/>
    <n v="16308"/>
    <n v="7571"/>
    <n v="0.31705682817538422"/>
    <s v="Good"/>
    <n v="40000"/>
    <n v="1.6751120231165459"/>
    <n v="1193.95"/>
    <n v="37"/>
    <n v="2691046"/>
  </r>
  <r>
    <x v="87"/>
    <x v="1"/>
    <x v="1"/>
    <x v="0"/>
    <x v="3"/>
    <s v="Customer_37"/>
    <x v="2"/>
    <x v="87"/>
    <n v="15108"/>
    <n v="4704"/>
    <n v="0.23743185947910359"/>
    <s v="Poor"/>
    <n v="45000"/>
    <n v="2.2713506965475467"/>
    <n v="1584.96"/>
    <n v="67"/>
    <n v="2944836"/>
  </r>
  <r>
    <x v="88"/>
    <x v="33"/>
    <x v="3"/>
    <x v="0"/>
    <x v="0"/>
    <s v="Customer_4"/>
    <x v="4"/>
    <x v="88"/>
    <n v="23198"/>
    <n v="5491"/>
    <n v="0.19139739970023353"/>
    <s v="Good"/>
    <n v="40000"/>
    <n v="1.3942626093624735"/>
    <n v="2295.12"/>
    <n v="7"/>
    <n v="1993799"/>
  </r>
  <r>
    <x v="89"/>
    <x v="29"/>
    <x v="2"/>
    <x v="0"/>
    <x v="7"/>
    <s v="Customer_29"/>
    <x v="0"/>
    <x v="89"/>
    <n v="16964"/>
    <n v="5756"/>
    <n v="0.25334507042253523"/>
    <s v="Good"/>
    <n v="47000"/>
    <n v="2.068661971830986"/>
    <n v="1817.6000000000001"/>
    <n v="46"/>
    <n v="3235200"/>
  </r>
  <r>
    <x v="90"/>
    <x v="7"/>
    <x v="2"/>
    <x v="1"/>
    <x v="2"/>
    <s v="Customer_19"/>
    <x v="2"/>
    <x v="90"/>
    <n v="14232"/>
    <n v="6838"/>
    <n v="0.32453725676317041"/>
    <s v="Good"/>
    <n v="45000"/>
    <n v="2.135738016136687"/>
    <n v="1053.5"/>
    <n v="61"/>
    <n v="2691046"/>
  </r>
  <r>
    <x v="91"/>
    <x v="21"/>
    <x v="3"/>
    <x v="0"/>
    <x v="7"/>
    <s v="Customer_47"/>
    <x v="3"/>
    <x v="91"/>
    <n v="3123"/>
    <n v="1883"/>
    <n v="0.37614862165401519"/>
    <s v="Poor"/>
    <n v="42000"/>
    <n v="8.3899320815021969"/>
    <n v="400.48"/>
    <n v="185"/>
    <n v="1137341"/>
  </r>
  <r>
    <x v="92"/>
    <x v="45"/>
    <x v="2"/>
    <x v="0"/>
    <x v="0"/>
    <s v="Customer_11"/>
    <x v="3"/>
    <x v="92"/>
    <n v="2561"/>
    <n v="447"/>
    <n v="0.14860372340425532"/>
    <s v="Poor"/>
    <n v="42000"/>
    <n v="13.962765957446809"/>
    <n v="240.64000000000001"/>
    <n v="199"/>
    <n v="3099884"/>
  </r>
  <r>
    <x v="93"/>
    <x v="14"/>
    <x v="2"/>
    <x v="1"/>
    <x v="5"/>
    <s v="Customer_26"/>
    <x v="1"/>
    <x v="93"/>
    <n v="11214"/>
    <n v="5517"/>
    <n v="0.32974717590102204"/>
    <s v="Good"/>
    <n v="43000"/>
    <n v="2.5700794931564164"/>
    <n v="836.55000000000007"/>
    <n v="99"/>
    <n v="757644"/>
  </r>
  <r>
    <x v="94"/>
    <x v="46"/>
    <x v="3"/>
    <x v="0"/>
    <x v="7"/>
    <s v="Customer_26"/>
    <x v="3"/>
    <x v="94"/>
    <n v="20828"/>
    <n v="4893"/>
    <n v="0.19023366121068389"/>
    <s v="Poor"/>
    <n v="42000"/>
    <n v="1.6329069631818358"/>
    <n v="2057.6799999999998"/>
    <n v="28"/>
    <n v="3147890"/>
  </r>
  <r>
    <x v="95"/>
    <x v="47"/>
    <x v="2"/>
    <x v="1"/>
    <x v="4"/>
    <s v="Customer_25"/>
    <x v="3"/>
    <x v="95"/>
    <n v="9105"/>
    <n v="3641"/>
    <n v="0.28565824572414877"/>
    <s v="Poor"/>
    <n v="42000"/>
    <n v="3.29515142005335"/>
    <n v="637.30000000000007"/>
    <n v="129"/>
    <n v="1648974"/>
  </r>
  <r>
    <x v="96"/>
    <x v="4"/>
    <x v="2"/>
    <x v="0"/>
    <x v="0"/>
    <s v="Customer_43"/>
    <x v="1"/>
    <x v="96"/>
    <n v="12065"/>
    <n v="5065"/>
    <n v="0.29568009340338586"/>
    <s v="Good"/>
    <n v="43000"/>
    <n v="2.5102159953298306"/>
    <n v="1370.4"/>
    <n v="94"/>
    <n v="665652"/>
  </r>
  <r>
    <x v="97"/>
    <x v="48"/>
    <x v="3"/>
    <x v="0"/>
    <x v="7"/>
    <s v="Customer_32"/>
    <x v="3"/>
    <x v="97"/>
    <n v="13395"/>
    <n v="5868"/>
    <n v="0.30462544774957173"/>
    <s v="Good"/>
    <n v="42000"/>
    <n v="2.1803457405388569"/>
    <n v="1541.04"/>
    <n v="74"/>
    <n v="2808628"/>
  </r>
  <r>
    <x v="98"/>
    <x v="1"/>
    <x v="3"/>
    <x v="1"/>
    <x v="6"/>
    <s v="Customer_17"/>
    <x v="2"/>
    <x v="98"/>
    <n v="14327"/>
    <n v="5335"/>
    <n v="0.27133557115247686"/>
    <s v="Good"/>
    <n v="45000"/>
    <n v="2.2886786695148"/>
    <n v="983.1"/>
    <n v="69"/>
    <n v="2944836"/>
  </r>
  <r>
    <x v="99"/>
    <x v="17"/>
    <x v="2"/>
    <x v="0"/>
    <x v="3"/>
    <s v="Customer_8"/>
    <x v="2"/>
    <x v="99"/>
    <n v="22200"/>
    <n v="3328"/>
    <n v="0.13036665622062049"/>
    <s v="Poor"/>
    <n v="45000"/>
    <n v="1.7627702914446881"/>
    <n v="2042.24"/>
    <n v="29"/>
    <n v="2860992"/>
  </r>
  <r>
    <x v="100"/>
    <x v="33"/>
    <x v="0"/>
    <x v="0"/>
    <x v="7"/>
    <s v="Customer_26"/>
    <x v="4"/>
    <x v="100"/>
    <n v="3731"/>
    <n v="1617"/>
    <n v="0.30235602094240838"/>
    <s v="Poor"/>
    <n v="40000"/>
    <n v="7.4794315632011967"/>
    <n v="427.84000000000003"/>
    <n v="180"/>
    <n v="1993799"/>
  </r>
  <r>
    <x v="101"/>
    <x v="46"/>
    <x v="3"/>
    <x v="1"/>
    <x v="6"/>
    <s v="Customer_15"/>
    <x v="4"/>
    <x v="101"/>
    <n v="14394"/>
    <n v="7891"/>
    <n v="0.3540946825218757"/>
    <s v="Good"/>
    <n v="40000"/>
    <n v="1.7949293246578415"/>
    <n v="1114.25"/>
    <n v="52"/>
    <n v="3147890"/>
  </r>
  <r>
    <x v="102"/>
    <x v="6"/>
    <x v="2"/>
    <x v="0"/>
    <x v="0"/>
    <s v="Customer_20"/>
    <x v="3"/>
    <x v="102"/>
    <n v="14995"/>
    <n v="2837"/>
    <n v="0.15909600717810676"/>
    <s v="Poor"/>
    <n v="42000"/>
    <n v="2.3553162853297445"/>
    <n v="1426.56"/>
    <n v="84"/>
    <n v="165400"/>
  </r>
  <r>
    <x v="103"/>
    <x v="49"/>
    <x v="2"/>
    <x v="1"/>
    <x v="6"/>
    <s v="Customer_50"/>
    <x v="1"/>
    <x v="103"/>
    <n v="11399"/>
    <n v="7260"/>
    <n v="0.38908837558282866"/>
    <s v="Good"/>
    <n v="43000"/>
    <n v="2.3045179270057345"/>
    <n v="932.95"/>
    <n v="76"/>
    <n v="2827287"/>
  </r>
  <r>
    <x v="104"/>
    <x v="10"/>
    <x v="2"/>
    <x v="0"/>
    <x v="1"/>
    <s v="Customer_23"/>
    <x v="1"/>
    <x v="104"/>
    <n v="7395"/>
    <n v="1419"/>
    <n v="0.16099387338325391"/>
    <s v="Poor"/>
    <n v="43000"/>
    <n v="4.8786022237349673"/>
    <n v="705.12"/>
    <n v="158"/>
    <n v="1349916"/>
  </r>
  <r>
    <x v="105"/>
    <x v="16"/>
    <x v="3"/>
    <x v="0"/>
    <x v="1"/>
    <s v="Customer_28"/>
    <x v="2"/>
    <x v="105"/>
    <n v="13865"/>
    <n v="4675"/>
    <n v="0.25215749730312836"/>
    <s v="Poor"/>
    <n v="45000"/>
    <n v="2.4271844660194173"/>
    <n v="1483.2"/>
    <n v="78"/>
    <n v="2761759"/>
  </r>
  <r>
    <x v="106"/>
    <x v="32"/>
    <x v="3"/>
    <x v="1"/>
    <x v="4"/>
    <s v="Customer_3"/>
    <x v="0"/>
    <x v="106"/>
    <n v="7094"/>
    <n v="4588"/>
    <n v="0.39274096901215544"/>
    <s v="Poor"/>
    <n v="47000"/>
    <n v="4.0232836843006332"/>
    <n v="584.1"/>
    <n v="143"/>
    <n v="1463299"/>
  </r>
  <r>
    <x v="107"/>
    <x v="20"/>
    <x v="1"/>
    <x v="1"/>
    <x v="2"/>
    <s v="Customer_4"/>
    <x v="0"/>
    <x v="107"/>
    <n v="17510"/>
    <n v="10620"/>
    <n v="0.37753288304301458"/>
    <s v="Good"/>
    <n v="47000"/>
    <n v="1.6708140774973339"/>
    <n v="1406.5"/>
    <n v="10"/>
    <n v="1247618"/>
  </r>
  <r>
    <x v="108"/>
    <x v="21"/>
    <x v="2"/>
    <x v="1"/>
    <x v="4"/>
    <s v="Customer_25"/>
    <x v="2"/>
    <x v="108"/>
    <n v="9328"/>
    <n v="2891"/>
    <n v="0.2365987396677306"/>
    <s v="Poor"/>
    <n v="45000"/>
    <n v="3.6827890989442671"/>
    <n v="610.95000000000005"/>
    <n v="139"/>
    <n v="1137341"/>
  </r>
  <r>
    <x v="109"/>
    <x v="30"/>
    <x v="1"/>
    <x v="1"/>
    <x v="4"/>
    <s v="Customer_27"/>
    <x v="2"/>
    <x v="109"/>
    <n v="8888"/>
    <n v="4281"/>
    <n v="0.32508163110334876"/>
    <s v="Poor"/>
    <n v="45000"/>
    <n v="3.4171159541347103"/>
    <n v="658.45"/>
    <n v="122"/>
    <n v="2074177"/>
  </r>
  <r>
    <x v="110"/>
    <x v="50"/>
    <x v="3"/>
    <x v="0"/>
    <x v="1"/>
    <s v="Customer_49"/>
    <x v="3"/>
    <x v="110"/>
    <n v="3028"/>
    <n v="586"/>
    <n v="0.16214720531267293"/>
    <s v="Poor"/>
    <n v="42000"/>
    <n v="11.621472053126729"/>
    <n v="289.12"/>
    <n v="197"/>
    <n v="2264035"/>
  </r>
  <r>
    <x v="111"/>
    <x v="51"/>
    <x v="3"/>
    <x v="1"/>
    <x v="4"/>
    <s v="Customer_3"/>
    <x v="2"/>
    <x v="111"/>
    <n v="23741"/>
    <n v="3448"/>
    <n v="0.12681599176137409"/>
    <s v="Poor"/>
    <n v="45000"/>
    <n v="1.6550810989738498"/>
    <n v="1359.45"/>
    <n v="20"/>
    <n v="2208504"/>
  </r>
  <r>
    <x v="112"/>
    <x v="27"/>
    <x v="2"/>
    <x v="0"/>
    <x v="1"/>
    <s v="Customer_17"/>
    <x v="1"/>
    <x v="112"/>
    <n v="8770"/>
    <n v="1767"/>
    <n v="0.1676947897883648"/>
    <s v="Poor"/>
    <n v="43000"/>
    <n v="4.0808579292018603"/>
    <n v="842.96"/>
    <n v="147"/>
    <n v="933361"/>
  </r>
  <r>
    <x v="113"/>
    <x v="27"/>
    <x v="0"/>
    <x v="1"/>
    <x v="4"/>
    <s v="Customer_26"/>
    <x v="0"/>
    <x v="113"/>
    <n v="4969"/>
    <n v="2879"/>
    <n v="0.36684505606523954"/>
    <s v="Poor"/>
    <n v="47000"/>
    <n v="5.9887869520897041"/>
    <n v="392.40000000000003"/>
    <n v="165"/>
    <n v="933361"/>
  </r>
  <r>
    <x v="114"/>
    <x v="44"/>
    <x v="2"/>
    <x v="0"/>
    <x v="1"/>
    <s v="Customer_39"/>
    <x v="2"/>
    <x v="114"/>
    <n v="22304"/>
    <n v="5451"/>
    <n v="0.19639704557737345"/>
    <s v="Good"/>
    <n v="45000"/>
    <n v="1.6213294901819493"/>
    <n v="2220.4"/>
    <n v="16"/>
    <n v="2181315"/>
  </r>
  <r>
    <x v="115"/>
    <x v="35"/>
    <x v="3"/>
    <x v="1"/>
    <x v="4"/>
    <s v="Customer_28"/>
    <x v="4"/>
    <x v="115"/>
    <n v="2556"/>
    <n v="1625"/>
    <n v="0.38866299928246834"/>
    <s v="Poor"/>
    <n v="40000"/>
    <n v="9.5670892131069127"/>
    <n v="209.05"/>
    <n v="193"/>
    <n v="314278"/>
  </r>
  <r>
    <x v="116"/>
    <x v="43"/>
    <x v="0"/>
    <x v="0"/>
    <x v="3"/>
    <s v="Customer_49"/>
    <x v="2"/>
    <x v="116"/>
    <n v="6532"/>
    <n v="1857"/>
    <n v="0.22136130647276195"/>
    <s v="Poor"/>
    <n v="45000"/>
    <n v="5.3641673620216954"/>
    <n v="671.12"/>
    <n v="161"/>
    <n v="2014845"/>
  </r>
  <r>
    <x v="117"/>
    <x v="52"/>
    <x v="1"/>
    <x v="0"/>
    <x v="3"/>
    <s v="Customer_40"/>
    <x v="1"/>
    <x v="117"/>
    <n v="4380"/>
    <n v="916"/>
    <n v="0.1729607250755287"/>
    <s v="Poor"/>
    <n v="43000"/>
    <n v="8.119335347432024"/>
    <n v="423.68"/>
    <n v="181"/>
    <n v="2950132"/>
  </r>
  <r>
    <x v="118"/>
    <x v="32"/>
    <x v="1"/>
    <x v="1"/>
    <x v="2"/>
    <s v="Customer_6"/>
    <x v="0"/>
    <x v="118"/>
    <n v="15560"/>
    <n v="8384"/>
    <n v="0.35015035081857671"/>
    <s v="Good"/>
    <n v="47000"/>
    <n v="1.962913464751086"/>
    <n v="1197.2"/>
    <n v="36"/>
    <n v="1463299"/>
  </r>
  <r>
    <x v="119"/>
    <x v="47"/>
    <x v="3"/>
    <x v="1"/>
    <x v="2"/>
    <s v="Customer_44"/>
    <x v="1"/>
    <x v="119"/>
    <n v="13265"/>
    <n v="5633"/>
    <n v="0.29807387025082022"/>
    <s v="Good"/>
    <n v="43000"/>
    <n v="2.2753730553497724"/>
    <n v="944.90000000000009"/>
    <n v="75"/>
    <n v="1648974"/>
  </r>
  <r>
    <x v="120"/>
    <x v="19"/>
    <x v="0"/>
    <x v="0"/>
    <x v="0"/>
    <s v="Customer_10"/>
    <x v="4"/>
    <x v="120"/>
    <n v="11129"/>
    <n v="2526"/>
    <n v="0.18498718418161844"/>
    <s v="Poor"/>
    <n v="40000"/>
    <n v="2.9293299157817647"/>
    <n v="1092.4000000000001"/>
    <n v="119"/>
    <n v="1589196"/>
  </r>
  <r>
    <x v="121"/>
    <x v="44"/>
    <x v="3"/>
    <x v="1"/>
    <x v="2"/>
    <s v="Customer_16"/>
    <x v="4"/>
    <x v="121"/>
    <n v="21904"/>
    <n v="5528"/>
    <n v="0.20151647710702827"/>
    <s v="Good"/>
    <n v="40000"/>
    <n v="1.4581510644502771"/>
    <n v="1371.6000000000001"/>
    <n v="18"/>
    <n v="2181315"/>
  </r>
  <r>
    <x v="122"/>
    <x v="3"/>
    <x v="1"/>
    <x v="1"/>
    <x v="6"/>
    <s v="Customer_10"/>
    <x v="1"/>
    <x v="122"/>
    <n v="15119"/>
    <n v="7621"/>
    <n v="0.33513632365875112"/>
    <s v="Good"/>
    <n v="43000"/>
    <n v="1.8909410729991205"/>
    <n v="1137"/>
    <n v="45"/>
    <n v="2448350"/>
  </r>
  <r>
    <x v="123"/>
    <x v="1"/>
    <x v="0"/>
    <x v="0"/>
    <x v="3"/>
    <s v="Customer_47"/>
    <x v="2"/>
    <x v="123"/>
    <n v="13939"/>
    <n v="6555"/>
    <n v="0.31984971211086172"/>
    <s v="Good"/>
    <n v="45000"/>
    <n v="2.1957646140333758"/>
    <n v="1639.52"/>
    <n v="64"/>
    <n v="2944836"/>
  </r>
  <r>
    <x v="124"/>
    <x v="44"/>
    <x v="2"/>
    <x v="0"/>
    <x v="3"/>
    <s v="Customer_4"/>
    <x v="4"/>
    <x v="124"/>
    <n v="3659"/>
    <n v="1030"/>
    <n v="0.21966304116016208"/>
    <s v="Poor"/>
    <n v="40000"/>
    <n v="8.5306035402004685"/>
    <n v="375.12"/>
    <n v="191"/>
    <n v="2181315"/>
  </r>
  <r>
    <x v="125"/>
    <x v="8"/>
    <x v="3"/>
    <x v="0"/>
    <x v="3"/>
    <s v="Customer_50"/>
    <x v="4"/>
    <x v="125"/>
    <n v="6809"/>
    <n v="996"/>
    <n v="0.1276105060858424"/>
    <s v="Poor"/>
    <n v="40000"/>
    <n v="5.1249199231262015"/>
    <n v="624.4"/>
    <n v="166"/>
    <n v="1945841"/>
  </r>
  <r>
    <x v="126"/>
    <x v="30"/>
    <x v="1"/>
    <x v="0"/>
    <x v="1"/>
    <s v="Customer_5"/>
    <x v="2"/>
    <x v="126"/>
    <n v="18117"/>
    <n v="10918"/>
    <n v="0.37602893060099879"/>
    <s v="Good"/>
    <n v="45000"/>
    <n v="1.5498536249354227"/>
    <n v="2322.8000000000002"/>
    <n v="4"/>
    <n v="2074177"/>
  </r>
  <r>
    <x v="127"/>
    <x v="34"/>
    <x v="2"/>
    <x v="0"/>
    <x v="7"/>
    <s v="Customer_45"/>
    <x v="3"/>
    <x v="127"/>
    <n v="20727"/>
    <n v="8250"/>
    <n v="0.28470856196293615"/>
    <s v="Good"/>
    <n v="42000"/>
    <n v="1.4494254063567658"/>
    <n v="2318.16"/>
    <n v="5"/>
    <n v="2568758"/>
  </r>
  <r>
    <x v="128"/>
    <x v="12"/>
    <x v="1"/>
    <x v="1"/>
    <x v="6"/>
    <s v="Customer_28"/>
    <x v="1"/>
    <x v="128"/>
    <n v="17830"/>
    <n v="4871"/>
    <n v="0.2145720452843487"/>
    <s v="Poor"/>
    <n v="43000"/>
    <n v="1.8941896832738645"/>
    <n v="1135.05"/>
    <n v="47"/>
    <n v="2334388"/>
  </r>
  <r>
    <x v="129"/>
    <x v="40"/>
    <x v="0"/>
    <x v="0"/>
    <x v="3"/>
    <s v="Customer_45"/>
    <x v="1"/>
    <x v="129"/>
    <n v="12365"/>
    <n v="6983"/>
    <n v="0.36091585693611744"/>
    <s v="Good"/>
    <n v="43000"/>
    <n v="2.2224519330163326"/>
    <n v="1547.8400000000001"/>
    <n v="73"/>
    <n v="85259"/>
  </r>
  <r>
    <x v="130"/>
    <x v="39"/>
    <x v="1"/>
    <x v="0"/>
    <x v="7"/>
    <s v="Customer_6"/>
    <x v="0"/>
    <x v="130"/>
    <n v="15437"/>
    <n v="1812"/>
    <n v="0.10504956809090382"/>
    <s v="Poor"/>
    <n v="47000"/>
    <n v="2.7247956403269753"/>
    <n v="1379.92"/>
    <n v="93"/>
    <n v="1845453"/>
  </r>
  <r>
    <x v="131"/>
    <x v="50"/>
    <x v="2"/>
    <x v="0"/>
    <x v="3"/>
    <s v="Customer_12"/>
    <x v="0"/>
    <x v="131"/>
    <n v="10476"/>
    <n v="1349"/>
    <n v="0.11408033826638478"/>
    <s v="Poor"/>
    <n v="47000"/>
    <n v="3.9746300211416492"/>
    <n v="946"/>
    <n v="141"/>
    <n v="2264035"/>
  </r>
  <r>
    <x v="132"/>
    <x v="35"/>
    <x v="3"/>
    <x v="1"/>
    <x v="4"/>
    <s v="Customer_31"/>
    <x v="2"/>
    <x v="132"/>
    <n v="12853"/>
    <n v="4757"/>
    <n v="0.2701306076093129"/>
    <s v="Poor"/>
    <n v="45000"/>
    <n v="2.5553662691652472"/>
    <n v="880.5"/>
    <n v="88"/>
    <n v="314278"/>
  </r>
  <r>
    <x v="133"/>
    <x v="9"/>
    <x v="0"/>
    <x v="0"/>
    <x v="1"/>
    <s v="Customer_11"/>
    <x v="3"/>
    <x v="133"/>
    <n v="8137"/>
    <n v="5319"/>
    <n v="0.39528834720570749"/>
    <s v="Good"/>
    <n v="42000"/>
    <n v="3.1212841854934603"/>
    <n v="1076.48"/>
    <n v="121"/>
    <n v="480218"/>
  </r>
  <r>
    <x v="134"/>
    <x v="39"/>
    <x v="0"/>
    <x v="0"/>
    <x v="3"/>
    <s v="Customer_13"/>
    <x v="1"/>
    <x v="134"/>
    <n v="13101"/>
    <n v="8242"/>
    <n v="0.38616876727732746"/>
    <s v="Good"/>
    <n v="43000"/>
    <n v="2.0147120835871246"/>
    <n v="1707.44"/>
    <n v="58"/>
    <n v="1845453"/>
  </r>
  <r>
    <x v="135"/>
    <x v="4"/>
    <x v="2"/>
    <x v="0"/>
    <x v="3"/>
    <s v="Customer_29"/>
    <x v="3"/>
    <x v="135"/>
    <n v="14531"/>
    <n v="1784"/>
    <n v="0.10934722647870058"/>
    <s v="Poor"/>
    <n v="42000"/>
    <n v="2.5743181121667176"/>
    <n v="1305.2"/>
    <n v="104"/>
    <n v="665652"/>
  </r>
  <r>
    <x v="136"/>
    <x v="21"/>
    <x v="1"/>
    <x v="1"/>
    <x v="4"/>
    <s v="Customer_47"/>
    <x v="2"/>
    <x v="136"/>
    <n v="13992"/>
    <n v="7965"/>
    <n v="0.36275447465500754"/>
    <s v="Good"/>
    <n v="45000"/>
    <n v="2.0494603087853531"/>
    <n v="1097.8500000000001"/>
    <n v="54"/>
    <n v="1137341"/>
  </r>
  <r>
    <x v="137"/>
    <x v="43"/>
    <x v="2"/>
    <x v="0"/>
    <x v="7"/>
    <s v="Customer_38"/>
    <x v="2"/>
    <x v="137"/>
    <n v="5216"/>
    <n v="2293"/>
    <n v="0.30536689306165932"/>
    <s v="Poor"/>
    <n v="45000"/>
    <n v="5.9928086296444265"/>
    <n v="600.72"/>
    <n v="168"/>
    <n v="2014845"/>
  </r>
  <r>
    <x v="138"/>
    <x v="15"/>
    <x v="0"/>
    <x v="0"/>
    <x v="0"/>
    <s v="Customer_42"/>
    <x v="4"/>
    <x v="138"/>
    <n v="17187"/>
    <n v="11149"/>
    <n v="0.39345708639186899"/>
    <s v="Good"/>
    <n v="40000"/>
    <n v="1.411631846414455"/>
    <n v="2266.88"/>
    <n v="9"/>
    <n v="841403"/>
  </r>
  <r>
    <x v="139"/>
    <x v="44"/>
    <x v="1"/>
    <x v="0"/>
    <x v="7"/>
    <s v="Customer_48"/>
    <x v="2"/>
    <x v="139"/>
    <n v="6547"/>
    <n v="1420"/>
    <n v="0.17823522028367014"/>
    <s v="Poor"/>
    <n v="45000"/>
    <n v="5.6482992343416596"/>
    <n v="637.36"/>
    <n v="164"/>
    <n v="2181315"/>
  </r>
  <r>
    <x v="140"/>
    <x v="2"/>
    <x v="0"/>
    <x v="1"/>
    <x v="6"/>
    <s v="Customer_1"/>
    <x v="3"/>
    <x v="140"/>
    <n v="7251"/>
    <n v="2015"/>
    <n v="0.2174616878912152"/>
    <s v="Poor"/>
    <n v="42000"/>
    <n v="4.5327001942585801"/>
    <n v="463.3"/>
    <n v="153"/>
    <n v="3096876"/>
  </r>
  <r>
    <x v="141"/>
    <x v="28"/>
    <x v="2"/>
    <x v="1"/>
    <x v="4"/>
    <s v="Customer_22"/>
    <x v="2"/>
    <x v="141"/>
    <n v="12433"/>
    <n v="6108"/>
    <n v="0.32943206946766623"/>
    <s v="Good"/>
    <n v="45000"/>
    <n v="2.4270535569818241"/>
    <n v="927.05000000000007"/>
    <n v="77"/>
    <n v="49160"/>
  </r>
  <r>
    <x v="142"/>
    <x v="12"/>
    <x v="0"/>
    <x v="1"/>
    <x v="6"/>
    <s v="Customer_35"/>
    <x v="1"/>
    <x v="142"/>
    <n v="8375"/>
    <n v="3915"/>
    <n v="0.31855166802278273"/>
    <s v="Poor"/>
    <n v="43000"/>
    <n v="3.498779495524817"/>
    <n v="614.5"/>
    <n v="136"/>
    <n v="2334388"/>
  </r>
  <r>
    <x v="143"/>
    <x v="9"/>
    <x v="1"/>
    <x v="0"/>
    <x v="1"/>
    <s v="Customer_9"/>
    <x v="1"/>
    <x v="143"/>
    <n v="23913"/>
    <n v="5898"/>
    <n v="0.19784643252490691"/>
    <s v="Good"/>
    <n v="43000"/>
    <n v="1.4424205830062728"/>
    <n v="2384.88"/>
    <n v="1"/>
    <n v="480218"/>
  </r>
  <r>
    <x v="144"/>
    <x v="38"/>
    <x v="2"/>
    <x v="1"/>
    <x v="6"/>
    <s v="Customer_13"/>
    <x v="3"/>
    <x v="144"/>
    <n v="2347"/>
    <n v="1396"/>
    <n v="0.37296286401282391"/>
    <s v="Poor"/>
    <n v="42000"/>
    <n v="11.2209457654288"/>
    <n v="187.15"/>
    <n v="196"/>
    <n v="1191668"/>
  </r>
  <r>
    <x v="145"/>
    <x v="31"/>
    <x v="1"/>
    <x v="0"/>
    <x v="0"/>
    <s v="Customer_33"/>
    <x v="3"/>
    <x v="145"/>
    <n v="10478"/>
    <n v="2177"/>
    <n v="0.17202686685104701"/>
    <s v="Poor"/>
    <n v="42000"/>
    <n v="3.3188463058079809"/>
    <n v="1012.4"/>
    <n v="131"/>
    <n v="1908942"/>
  </r>
  <r>
    <x v="146"/>
    <x v="53"/>
    <x v="0"/>
    <x v="1"/>
    <x v="4"/>
    <s v="Customer_28"/>
    <x v="1"/>
    <x v="146"/>
    <n v="15052"/>
    <n v="4440"/>
    <n v="0.22778575825979888"/>
    <s v="Poor"/>
    <n v="43000"/>
    <n v="2.2060332444079624"/>
    <n v="974.6"/>
    <n v="71"/>
    <n v="358220"/>
  </r>
  <r>
    <x v="147"/>
    <x v="36"/>
    <x v="0"/>
    <x v="1"/>
    <x v="2"/>
    <s v="Customer_36"/>
    <x v="1"/>
    <x v="147"/>
    <n v="15138"/>
    <n v="8685"/>
    <n v="0.36456365697015491"/>
    <s v="Good"/>
    <n v="43000"/>
    <n v="1.8049783822356547"/>
    <n v="1191.1500000000001"/>
    <n v="38"/>
    <n v="1678740"/>
  </r>
  <r>
    <x v="148"/>
    <x v="35"/>
    <x v="3"/>
    <x v="1"/>
    <x v="6"/>
    <s v="Customer_2"/>
    <x v="0"/>
    <x v="148"/>
    <n v="8248"/>
    <n v="3985"/>
    <n v="0.32575819504618653"/>
    <s v="Poor"/>
    <n v="47000"/>
    <n v="3.842066541322652"/>
    <n v="611.65"/>
    <n v="138"/>
    <n v="314278"/>
  </r>
  <r>
    <x v="149"/>
    <x v="50"/>
    <x v="2"/>
    <x v="0"/>
    <x v="7"/>
    <s v="Customer_21"/>
    <x v="2"/>
    <x v="149"/>
    <n v="2190"/>
    <n v="813"/>
    <n v="0.27072927072927072"/>
    <s v="Poor"/>
    <n v="45000"/>
    <n v="14.985014985014985"/>
    <n v="240.24"/>
    <n v="200"/>
    <n v="2264035"/>
  </r>
  <r>
    <x v="150"/>
    <x v="10"/>
    <x v="3"/>
    <x v="1"/>
    <x v="4"/>
    <s v="Customer_25"/>
    <x v="0"/>
    <x v="150"/>
    <n v="15170"/>
    <n v="6355"/>
    <n v="0.29523809523809524"/>
    <s v="Good"/>
    <n v="47000"/>
    <n v="2.1835075493612077"/>
    <n v="1076.25"/>
    <n v="56"/>
    <n v="1349916"/>
  </r>
  <r>
    <x v="151"/>
    <x v="47"/>
    <x v="0"/>
    <x v="0"/>
    <x v="0"/>
    <s v="Customer_16"/>
    <x v="4"/>
    <x v="151"/>
    <n v="18369"/>
    <n v="2943"/>
    <n v="0.13809121621621623"/>
    <s v="Poor"/>
    <n v="40000"/>
    <n v="1.8768768768768769"/>
    <n v="1704.96"/>
    <n v="59"/>
    <n v="1648974"/>
  </r>
  <r>
    <x v="152"/>
    <x v="35"/>
    <x v="0"/>
    <x v="1"/>
    <x v="5"/>
    <s v="Customer_33"/>
    <x v="4"/>
    <x v="152"/>
    <n v="6580"/>
    <n v="1833"/>
    <n v="0.21787709497206703"/>
    <s v="Poor"/>
    <n v="40000"/>
    <n v="4.7545465351242129"/>
    <n v="420.65000000000003"/>
    <n v="160"/>
    <n v="314278"/>
  </r>
  <r>
    <x v="153"/>
    <x v="54"/>
    <x v="2"/>
    <x v="0"/>
    <x v="3"/>
    <s v="Customer_45"/>
    <x v="3"/>
    <x v="153"/>
    <n v="3566"/>
    <n v="1127"/>
    <n v="0.24014489665459193"/>
    <s v="Poor"/>
    <n v="42000"/>
    <n v="8.949499254208396"/>
    <n v="375.44"/>
    <n v="190"/>
    <n v="226223"/>
  </r>
  <r>
    <x v="154"/>
    <x v="21"/>
    <x v="0"/>
    <x v="1"/>
    <x v="6"/>
    <s v="Customer_40"/>
    <x v="4"/>
    <x v="154"/>
    <n v="19960"/>
    <n v="4981"/>
    <n v="0.19971131871216069"/>
    <s v="Poor"/>
    <n v="40000"/>
    <n v="1.6037849324405598"/>
    <n v="1247.0500000000002"/>
    <n v="31"/>
    <n v="1137341"/>
  </r>
  <r>
    <x v="155"/>
    <x v="11"/>
    <x v="0"/>
    <x v="1"/>
    <x v="2"/>
    <s v="Customer_49"/>
    <x v="3"/>
    <x v="155"/>
    <n v="16616"/>
    <n v="5895"/>
    <n v="0.26187197370174581"/>
    <s v="Good"/>
    <n v="42000"/>
    <n v="1.8657545200124384"/>
    <n v="1125.55"/>
    <n v="49"/>
    <n v="3053221"/>
  </r>
  <r>
    <x v="156"/>
    <x v="55"/>
    <x v="2"/>
    <x v="0"/>
    <x v="7"/>
    <s v="Customer_38"/>
    <x v="4"/>
    <x v="156"/>
    <n v="12354"/>
    <n v="1592"/>
    <n v="0.11415459630001434"/>
    <s v="Poor"/>
    <n v="40000"/>
    <n v="2.86820593718629"/>
    <n v="1115.68"/>
    <n v="113"/>
    <n v="876591"/>
  </r>
  <r>
    <x v="157"/>
    <x v="55"/>
    <x v="0"/>
    <x v="0"/>
    <x v="3"/>
    <s v="Customer_44"/>
    <x v="1"/>
    <x v="157"/>
    <n v="14098"/>
    <n v="7144"/>
    <n v="0.3363148479427549"/>
    <s v="Good"/>
    <n v="43000"/>
    <n v="2.0242914979757085"/>
    <n v="1699.3600000000001"/>
    <n v="60"/>
    <n v="876591"/>
  </r>
  <r>
    <x v="158"/>
    <x v="44"/>
    <x v="0"/>
    <x v="1"/>
    <x v="6"/>
    <s v="Customer_49"/>
    <x v="2"/>
    <x v="158"/>
    <n v="18664"/>
    <n v="4158"/>
    <n v="0.18219262115502585"/>
    <s v="Poor"/>
    <n v="45000"/>
    <n v="1.9717816142318816"/>
    <n v="1141.1000000000001"/>
    <n v="44"/>
    <n v="2181315"/>
  </r>
  <r>
    <x v="159"/>
    <x v="20"/>
    <x v="1"/>
    <x v="0"/>
    <x v="0"/>
    <s v="Customer_24"/>
    <x v="1"/>
    <x v="159"/>
    <n v="10070"/>
    <n v="4755"/>
    <n v="0.32074198988195618"/>
    <s v="Poor"/>
    <n v="43000"/>
    <n v="2.900505902192243"/>
    <n v="1186"/>
    <n v="109"/>
    <n v="1247618"/>
  </r>
  <r>
    <x v="160"/>
    <x v="9"/>
    <x v="0"/>
    <x v="1"/>
    <x v="5"/>
    <s v="Customer_30"/>
    <x v="2"/>
    <x v="160"/>
    <n v="9039"/>
    <n v="1067"/>
    <n v="0.10558084306352662"/>
    <s v="Poor"/>
    <n v="45000"/>
    <n v="4.4528003166435779"/>
    <n v="505.3"/>
    <n v="150"/>
    <n v="480218"/>
  </r>
  <r>
    <x v="161"/>
    <x v="9"/>
    <x v="2"/>
    <x v="1"/>
    <x v="5"/>
    <s v="Customer_1"/>
    <x v="3"/>
    <x v="161"/>
    <n v="17254"/>
    <n v="6927"/>
    <n v="0.28646457962863403"/>
    <s v="Good"/>
    <n v="42000"/>
    <n v="1.7369008725859145"/>
    <n v="1209.05"/>
    <n v="35"/>
    <n v="480218"/>
  </r>
  <r>
    <x v="162"/>
    <x v="31"/>
    <x v="3"/>
    <x v="0"/>
    <x v="0"/>
    <s v="Customer_48"/>
    <x v="1"/>
    <x v="162"/>
    <n v="6768"/>
    <n v="2021"/>
    <n v="0.22994652406417113"/>
    <s v="Poor"/>
    <n v="43000"/>
    <n v="4.8924792354078965"/>
    <n v="703.12"/>
    <n v="159"/>
    <n v="1908942"/>
  </r>
  <r>
    <x v="163"/>
    <x v="28"/>
    <x v="2"/>
    <x v="0"/>
    <x v="7"/>
    <s v="Customer_46"/>
    <x v="1"/>
    <x v="163"/>
    <n v="13022"/>
    <n v="4587"/>
    <n v="0.26049179396899313"/>
    <s v="Poor"/>
    <n v="43000"/>
    <n v="2.4419331023908231"/>
    <n v="1408.72"/>
    <n v="89"/>
    <n v="49160"/>
  </r>
  <r>
    <x v="164"/>
    <x v="56"/>
    <x v="0"/>
    <x v="0"/>
    <x v="7"/>
    <s v="Customer_42"/>
    <x v="1"/>
    <x v="164"/>
    <n v="10421"/>
    <n v="2406"/>
    <n v="0.18757308801746317"/>
    <s v="Poor"/>
    <n v="43000"/>
    <n v="3.3523037343104387"/>
    <n v="1026.1600000000001"/>
    <n v="128"/>
    <n v="2962959"/>
  </r>
  <r>
    <x v="165"/>
    <x v="28"/>
    <x v="3"/>
    <x v="0"/>
    <x v="0"/>
    <s v="Customer_10"/>
    <x v="0"/>
    <x v="165"/>
    <n v="6783"/>
    <n v="958"/>
    <n v="0.12375662059165482"/>
    <s v="Poor"/>
    <n v="47000"/>
    <n v="6.0715669810102053"/>
    <n v="619.28"/>
    <n v="167"/>
    <n v="49160"/>
  </r>
  <r>
    <x v="166"/>
    <x v="54"/>
    <x v="3"/>
    <x v="1"/>
    <x v="5"/>
    <s v="Customer_31"/>
    <x v="1"/>
    <x v="166"/>
    <n v="23794"/>
    <n v="4165"/>
    <n v="0.14896813190743588"/>
    <s v="Poor"/>
    <n v="43000"/>
    <n v="1.5379663078078616"/>
    <n v="1397.95"/>
    <n v="13"/>
    <n v="226223"/>
  </r>
  <r>
    <x v="167"/>
    <x v="57"/>
    <x v="0"/>
    <x v="0"/>
    <x v="1"/>
    <s v="Customer_48"/>
    <x v="0"/>
    <x v="167"/>
    <n v="8117"/>
    <n v="1143"/>
    <n v="0.12343412526997841"/>
    <s v="Poor"/>
    <n v="47000"/>
    <n v="5.0755939524838016"/>
    <n v="740.80000000000007"/>
    <n v="154"/>
    <n v="2376415"/>
  </r>
  <r>
    <x v="168"/>
    <x v="57"/>
    <x v="3"/>
    <x v="1"/>
    <x v="6"/>
    <s v="Customer_7"/>
    <x v="0"/>
    <x v="168"/>
    <n v="18470"/>
    <n v="4956"/>
    <n v="0.21155980534448904"/>
    <s v="Poor"/>
    <n v="47000"/>
    <n v="2.0063177665841372"/>
    <n v="1171.3"/>
    <n v="42"/>
    <n v="2376415"/>
  </r>
  <r>
    <x v="169"/>
    <x v="48"/>
    <x v="2"/>
    <x v="0"/>
    <x v="0"/>
    <s v="Customer_43"/>
    <x v="2"/>
    <x v="169"/>
    <n v="7495"/>
    <n v="2177"/>
    <n v="0.22508271298593879"/>
    <s v="Poor"/>
    <n v="45000"/>
    <n v="4.6526054590570718"/>
    <n v="773.76"/>
    <n v="151"/>
    <n v="2808628"/>
  </r>
  <r>
    <x v="170"/>
    <x v="15"/>
    <x v="1"/>
    <x v="0"/>
    <x v="7"/>
    <s v="Customer_11"/>
    <x v="4"/>
    <x v="170"/>
    <n v="12741"/>
    <n v="2914"/>
    <n v="0.18613861386138614"/>
    <s v="Poor"/>
    <n v="40000"/>
    <n v="2.5550942190993293"/>
    <n v="1252.4000000000001"/>
    <n v="106"/>
    <n v="841403"/>
  </r>
  <r>
    <x v="171"/>
    <x v="33"/>
    <x v="1"/>
    <x v="0"/>
    <x v="3"/>
    <s v="Customer_1"/>
    <x v="3"/>
    <x v="171"/>
    <n v="3209"/>
    <n v="1687"/>
    <n v="0.34456699346405228"/>
    <s v="Poor"/>
    <n v="42000"/>
    <n v="8.5784313725490193"/>
    <n v="391.68"/>
    <n v="188"/>
    <n v="1993799"/>
  </r>
  <r>
    <x v="172"/>
    <x v="32"/>
    <x v="2"/>
    <x v="0"/>
    <x v="1"/>
    <s v="Customer_41"/>
    <x v="0"/>
    <x v="172"/>
    <n v="22645"/>
    <n v="3979"/>
    <n v="0.14945162259615385"/>
    <s v="Poor"/>
    <n v="47000"/>
    <n v="1.7653245192307692"/>
    <n v="2129.92"/>
    <n v="23"/>
    <n v="1463299"/>
  </r>
  <r>
    <x v="173"/>
    <x v="35"/>
    <x v="0"/>
    <x v="0"/>
    <x v="0"/>
    <s v="Customer_13"/>
    <x v="2"/>
    <x v="173"/>
    <n v="7893"/>
    <n v="4497"/>
    <n v="0.36295399515738497"/>
    <s v="Poor"/>
    <n v="45000"/>
    <n v="3.6319612590799033"/>
    <n v="991.2"/>
    <n v="134"/>
    <n v="314278"/>
  </r>
  <r>
    <x v="174"/>
    <x v="9"/>
    <x v="3"/>
    <x v="1"/>
    <x v="6"/>
    <s v="Customer_10"/>
    <x v="1"/>
    <x v="174"/>
    <n v="13760"/>
    <n v="2780"/>
    <n v="0.16807738814993953"/>
    <s v="Poor"/>
    <n v="43000"/>
    <n v="2.5997581620314389"/>
    <n v="827"/>
    <n v="102"/>
    <n v="480218"/>
  </r>
  <r>
    <x v="175"/>
    <x v="35"/>
    <x v="0"/>
    <x v="0"/>
    <x v="7"/>
    <s v="Customer_30"/>
    <x v="0"/>
    <x v="175"/>
    <n v="7782"/>
    <n v="3199"/>
    <n v="0.29132137328112195"/>
    <s v="Poor"/>
    <n v="47000"/>
    <n v="4.2801202076313629"/>
    <n v="878.48"/>
    <n v="146"/>
    <n v="314278"/>
  </r>
  <r>
    <x v="176"/>
    <x v="3"/>
    <x v="3"/>
    <x v="0"/>
    <x v="3"/>
    <s v="Customer_9"/>
    <x v="0"/>
    <x v="176"/>
    <n v="8066"/>
    <n v="3688"/>
    <n v="0.31376552662923263"/>
    <s v="Poor"/>
    <n v="47000"/>
    <n v="3.9986387612727583"/>
    <n v="940.32"/>
    <n v="142"/>
    <n v="2448350"/>
  </r>
  <r>
    <x v="177"/>
    <x v="34"/>
    <x v="3"/>
    <x v="0"/>
    <x v="3"/>
    <s v="Customer_1"/>
    <x v="2"/>
    <x v="177"/>
    <n v="16448"/>
    <n v="3339"/>
    <n v="0.16874715722444028"/>
    <s v="Poor"/>
    <n v="45000"/>
    <n v="2.2742204477687369"/>
    <n v="1582.96"/>
    <n v="68"/>
    <n v="2568758"/>
  </r>
  <r>
    <x v="178"/>
    <x v="54"/>
    <x v="1"/>
    <x v="0"/>
    <x v="7"/>
    <s v="Customer_38"/>
    <x v="2"/>
    <x v="178"/>
    <n v="6189"/>
    <n v="994"/>
    <n v="0.13838229152164833"/>
    <s v="Poor"/>
    <n v="45000"/>
    <n v="6.2647918696923295"/>
    <n v="574.64"/>
    <n v="169"/>
    <n v="226223"/>
  </r>
  <r>
    <x v="179"/>
    <x v="57"/>
    <x v="1"/>
    <x v="0"/>
    <x v="1"/>
    <s v="Customer_7"/>
    <x v="4"/>
    <x v="179"/>
    <n v="8029"/>
    <n v="1312"/>
    <n v="0.14045605395567926"/>
    <s v="Poor"/>
    <n v="40000"/>
    <n v="4.2821967669414409"/>
    <n v="747.28"/>
    <n v="152"/>
    <n v="2376415"/>
  </r>
  <r>
    <x v="180"/>
    <x v="15"/>
    <x v="2"/>
    <x v="0"/>
    <x v="3"/>
    <s v="Customer_20"/>
    <x v="2"/>
    <x v="180"/>
    <n v="13010"/>
    <n v="4958"/>
    <n v="0.27593499554764023"/>
    <s v="Poor"/>
    <n v="45000"/>
    <n v="2.504452359750668"/>
    <n v="1437.44"/>
    <n v="82"/>
    <n v="841403"/>
  </r>
  <r>
    <x v="181"/>
    <x v="10"/>
    <x v="3"/>
    <x v="1"/>
    <x v="4"/>
    <s v="Customer_20"/>
    <x v="0"/>
    <x v="181"/>
    <n v="8726"/>
    <n v="5099"/>
    <n v="0.36882459312839061"/>
    <s v="Good"/>
    <n v="47000"/>
    <n v="3.3996383363471971"/>
    <n v="691.25"/>
    <n v="114"/>
    <n v="1349916"/>
  </r>
  <r>
    <x v="182"/>
    <x v="4"/>
    <x v="1"/>
    <x v="0"/>
    <x v="7"/>
    <s v="Customer_28"/>
    <x v="1"/>
    <x v="182"/>
    <n v="11391"/>
    <n v="1450"/>
    <n v="0.11291955455182619"/>
    <s v="Poor"/>
    <n v="43000"/>
    <n v="3.3486488591231214"/>
    <n v="1027.28"/>
    <n v="127"/>
    <n v="665652"/>
  </r>
  <r>
    <x v="183"/>
    <x v="19"/>
    <x v="1"/>
    <x v="0"/>
    <x v="7"/>
    <s v="Customer_14"/>
    <x v="2"/>
    <x v="183"/>
    <n v="9363"/>
    <n v="6210"/>
    <n v="0.39876709689847811"/>
    <s v="Good"/>
    <n v="45000"/>
    <n v="2.8896166441918707"/>
    <n v="1245.8399999999999"/>
    <n v="107"/>
    <n v="1589196"/>
  </r>
  <r>
    <x v="184"/>
    <x v="7"/>
    <x v="2"/>
    <x v="1"/>
    <x v="5"/>
    <s v="Customer_23"/>
    <x v="1"/>
    <x v="184"/>
    <n v="11432"/>
    <n v="2705"/>
    <n v="0.19134186885477825"/>
    <s v="Poor"/>
    <n v="43000"/>
    <n v="3.0416637193181013"/>
    <n v="706.85"/>
    <n v="112"/>
    <n v="2691046"/>
  </r>
  <r>
    <x v="185"/>
    <x v="25"/>
    <x v="2"/>
    <x v="0"/>
    <x v="7"/>
    <s v="Customer_37"/>
    <x v="3"/>
    <x v="185"/>
    <n v="8448"/>
    <n v="1941"/>
    <n v="0.1868322263933006"/>
    <s v="Poor"/>
    <n v="42000"/>
    <n v="4.0427375108287613"/>
    <n v="831.12"/>
    <n v="148"/>
    <n v="980127"/>
  </r>
  <r>
    <x v="186"/>
    <x v="7"/>
    <x v="1"/>
    <x v="0"/>
    <x v="7"/>
    <s v="Customer_15"/>
    <x v="2"/>
    <x v="186"/>
    <n v="12494"/>
    <n v="4629"/>
    <n v="0.27033814168078024"/>
    <s v="Poor"/>
    <n v="45000"/>
    <n v="2.6280441511417392"/>
    <n v="1369.84"/>
    <n v="95"/>
    <n v="2691046"/>
  </r>
  <r>
    <x v="187"/>
    <x v="29"/>
    <x v="3"/>
    <x v="1"/>
    <x v="2"/>
    <s v="Customer_9"/>
    <x v="1"/>
    <x v="187"/>
    <n v="20867"/>
    <n v="2590"/>
    <n v="0.11041480155177559"/>
    <s v="Poor"/>
    <n v="43000"/>
    <n v="1.8331414929445369"/>
    <n v="1172.8500000000001"/>
    <n v="41"/>
    <n v="3235200"/>
  </r>
  <r>
    <x v="188"/>
    <x v="50"/>
    <x v="2"/>
    <x v="1"/>
    <x v="2"/>
    <s v="Customer_26"/>
    <x v="0"/>
    <x v="188"/>
    <n v="10524"/>
    <n v="2018"/>
    <n v="0.16089937808961888"/>
    <s v="Poor"/>
    <n v="47000"/>
    <n v="3.7474087067453357"/>
    <n v="627.1"/>
    <n v="133"/>
    <n v="2264035"/>
  </r>
  <r>
    <x v="189"/>
    <x v="25"/>
    <x v="1"/>
    <x v="1"/>
    <x v="4"/>
    <s v="Customer_44"/>
    <x v="4"/>
    <x v="189"/>
    <n v="9166"/>
    <n v="2131"/>
    <n v="0.18863415065946712"/>
    <s v="Poor"/>
    <n v="40000"/>
    <n v="3.5407630344339207"/>
    <n v="564.85"/>
    <n v="144"/>
    <n v="980127"/>
  </r>
  <r>
    <x v="190"/>
    <x v="54"/>
    <x v="0"/>
    <x v="1"/>
    <x v="4"/>
    <s v="Customer_20"/>
    <x v="3"/>
    <x v="190"/>
    <n v="14469"/>
    <n v="6519"/>
    <n v="0.31060606060606061"/>
    <s v="Good"/>
    <n v="42000"/>
    <n v="2.0011435105774726"/>
    <n v="1049.4000000000001"/>
    <n v="62"/>
    <n v="226223"/>
  </r>
  <r>
    <x v="191"/>
    <x v="21"/>
    <x v="0"/>
    <x v="1"/>
    <x v="5"/>
    <s v="Customer_41"/>
    <x v="0"/>
    <x v="191"/>
    <n v="18956"/>
    <n v="3169"/>
    <n v="0.14323163841807909"/>
    <s v="Poor"/>
    <n v="47000"/>
    <n v="2.1242937853107344"/>
    <n v="1106.25"/>
    <n v="53"/>
    <n v="1137341"/>
  </r>
  <r>
    <x v="192"/>
    <x v="50"/>
    <x v="1"/>
    <x v="1"/>
    <x v="5"/>
    <s v="Customer_37"/>
    <x v="2"/>
    <x v="192"/>
    <n v="22049"/>
    <n v="2498"/>
    <n v="0.10176396300973642"/>
    <s v="Poor"/>
    <n v="45000"/>
    <n v="1.8332179085020572"/>
    <n v="1227.3500000000001"/>
    <n v="33"/>
    <n v="2264035"/>
  </r>
  <r>
    <x v="193"/>
    <x v="58"/>
    <x v="0"/>
    <x v="1"/>
    <x v="5"/>
    <s v="Customer_25"/>
    <x v="3"/>
    <x v="193"/>
    <n v="15331"/>
    <n v="9119"/>
    <n v="0.37296523517382413"/>
    <s v="Good"/>
    <n v="42000"/>
    <n v="1.7177914110429449"/>
    <n v="1222.5"/>
    <n v="34"/>
    <n v="338728"/>
  </r>
  <r>
    <x v="194"/>
    <x v="41"/>
    <x v="1"/>
    <x v="0"/>
    <x v="0"/>
    <s v="Customer_8"/>
    <x v="2"/>
    <x v="194"/>
    <n v="4993"/>
    <n v="1291"/>
    <n v="0.20544239338001274"/>
    <s v="Poor"/>
    <n v="45000"/>
    <n v="7.1610439210693828"/>
    <n v="502.72"/>
    <n v="176"/>
    <n v="1869415"/>
  </r>
  <r>
    <x v="195"/>
    <x v="3"/>
    <x v="1"/>
    <x v="1"/>
    <x v="2"/>
    <s v="Customer_12"/>
    <x v="3"/>
    <x v="195"/>
    <n v="7624"/>
    <n v="4930"/>
    <n v="0.39270352079018639"/>
    <s v="Poor"/>
    <n v="42000"/>
    <n v="3.3455472359407361"/>
    <n v="627.70000000000005"/>
    <n v="132"/>
    <n v="2448350"/>
  </r>
  <r>
    <x v="196"/>
    <x v="22"/>
    <x v="0"/>
    <x v="0"/>
    <x v="7"/>
    <s v="Customer_48"/>
    <x v="4"/>
    <x v="196"/>
    <n v="3382"/>
    <n v="588"/>
    <n v="0.14811083123425692"/>
    <s v="Poor"/>
    <n v="40000"/>
    <n v="10.075566750629722"/>
    <n v="317.60000000000002"/>
    <n v="195"/>
    <n v="1502635"/>
  </r>
  <r>
    <x v="197"/>
    <x v="1"/>
    <x v="2"/>
    <x v="0"/>
    <x v="7"/>
    <s v="Customer_48"/>
    <x v="4"/>
    <x v="197"/>
    <n v="4510"/>
    <n v="2559"/>
    <n v="0.36200311217994058"/>
    <s v="Poor"/>
    <n v="40000"/>
    <n v="5.65850898288301"/>
    <n v="565.52"/>
    <n v="170"/>
    <n v="2944836"/>
  </r>
  <r>
    <x v="198"/>
    <x v="48"/>
    <x v="1"/>
    <x v="1"/>
    <x v="2"/>
    <s v="Customer_1"/>
    <x v="4"/>
    <x v="198"/>
    <n v="14381"/>
    <n v="3553"/>
    <n v="0.19811531169844987"/>
    <s v="Poor"/>
    <n v="40000"/>
    <n v="2.2304003568640569"/>
    <n v="896.7"/>
    <n v="83"/>
    <n v="2808628"/>
  </r>
  <r>
    <x v="199"/>
    <x v="19"/>
    <x v="3"/>
    <x v="1"/>
    <x v="5"/>
    <s v="Customer_22"/>
    <x v="4"/>
    <x v="199"/>
    <n v="4292"/>
    <n v="2145"/>
    <n v="0.33322976541867327"/>
    <s v="Poor"/>
    <n v="40000"/>
    <n v="6.2140748796022995"/>
    <n v="321.85000000000002"/>
    <n v="174"/>
    <n v="1589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3B868-7B2A-4F02-A989-5AEA85F7E6F6}"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228" firstHeaderRow="1" firstDataRow="1" firstDataCol="1"/>
  <pivotFields count="19">
    <pivotField axis="axisRow"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dataField="1" showAll="0"/>
    <pivotField showAll="0">
      <items count="6">
        <item x="2"/>
        <item x="1"/>
        <item x="4"/>
        <item x="3"/>
        <item x="0"/>
        <item t="default"/>
      </items>
    </pivotField>
    <pivotField showAll="0"/>
    <pivotField showAll="0"/>
    <pivotField showAll="0"/>
    <pivotField numFmtId="165" showAll="0"/>
    <pivotField showAll="0"/>
    <pivotField showAll="0"/>
    <pivotField numFmtId="2"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Count of Customer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7D6567-6C3C-48DA-A441-C75F68B5E80F}"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L13"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axis="axisRow"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 fld="7"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287C6-3428-4535-B594-726F4D9E5533}"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I18" firstHeaderRow="1" firstDataRow="1" firstDataCol="1"/>
  <pivotFields count="19">
    <pivotField showAll="0"/>
    <pivotField axis="axisRow"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
  </rowFields>
  <rowItems count="4">
    <i>
      <x v="1"/>
    </i>
    <i>
      <x v="2"/>
    </i>
    <i>
      <x v="3"/>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E435C-7FF6-4D65-9268-D9FF4F88B3C6}"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8"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axis="axisRow"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8474F4-393C-4057-9EA7-DC471FC4536A}"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9"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axis="axisRow" showAll="0">
      <items count="9">
        <item x="3"/>
        <item x="7"/>
        <item x="1"/>
        <item x="5"/>
        <item x="4"/>
        <item x="2"/>
        <item x="0"/>
        <item x="6"/>
        <item t="default"/>
      </items>
    </pivotField>
    <pivotField showAll="0"/>
    <pivotField showAll="0">
      <items count="6">
        <item x="2"/>
        <item x="1"/>
        <item x="4"/>
        <item x="3"/>
        <item x="0"/>
        <item t="default"/>
      </items>
    </pivotField>
    <pivotField showAll="0"/>
    <pivotField showAll="0"/>
    <pivotField dataField="1" showAll="0"/>
    <pivotField numFmtId="165" showAll="0"/>
    <pivotField showAll="0"/>
    <pivotField showAll="0"/>
    <pivotField numFmtId="2"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98C082-BF4B-4658-BF58-3DCF56615593}"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axis="axisRow"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0CC149-9B56-4B4D-9D23-84D9AD953C13}"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6:B62"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axis="axisRow"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Items count="1">
    <i/>
  </colItems>
  <dataFields count="1">
    <dataField name="Sum of Sales" fld="7"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912F80-502F-4F2D-9F2E-46BC4721A4F0}"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B43" firstHeaderRow="1" firstDataRow="1" firstDataCol="1"/>
  <pivotFields count="19">
    <pivotField showAll="0"/>
    <pivotField axis="axisRow"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8"/>
    <field x="17"/>
    <field x="1"/>
  </rowFields>
  <rowItems count="4">
    <i>
      <x v="1"/>
    </i>
    <i>
      <x v="2"/>
    </i>
    <i>
      <x v="3"/>
    </i>
    <i t="grand">
      <x/>
    </i>
  </rowItems>
  <colItems count="1">
    <i/>
  </colItems>
  <dataFields count="1">
    <dataField name="Sum of Sales"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2E4648-34E5-4864-BC96-09252DC3AACC}"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B24"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showAll="0">
      <items count="5">
        <item x="3"/>
        <item x="1"/>
        <item x="2"/>
        <item x="0"/>
        <item t="default"/>
      </items>
    </pivotField>
    <pivotField axis="axisRow"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Sum of Sales" fld="7" baseField="0" baseItem="0"/>
  </dataFields>
  <chartFormats count="4">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94ACF1-7879-4516-B66A-FE975CF19AF7}"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9">
    <pivotField showAll="0"/>
    <pivotField numFmtId="14" showAll="0">
      <items count="60">
        <item x="28"/>
        <item x="40"/>
        <item x="0"/>
        <item x="6"/>
        <item x="54"/>
        <item x="35"/>
        <item x="58"/>
        <item x="53"/>
        <item x="9"/>
        <item x="37"/>
        <item x="23"/>
        <item x="4"/>
        <item x="14"/>
        <item x="15"/>
        <item x="55"/>
        <item x="27"/>
        <item x="26"/>
        <item x="25"/>
        <item x="42"/>
        <item x="21"/>
        <item x="38"/>
        <item x="20"/>
        <item x="10"/>
        <item x="32"/>
        <item x="22"/>
        <item x="19"/>
        <item x="13"/>
        <item x="47"/>
        <item x="36"/>
        <item x="5"/>
        <item x="18"/>
        <item x="39"/>
        <item x="41"/>
        <item x="31"/>
        <item x="8"/>
        <item x="33"/>
        <item x="43"/>
        <item x="30"/>
        <item x="44"/>
        <item x="51"/>
        <item x="50"/>
        <item x="12"/>
        <item x="57"/>
        <item x="3"/>
        <item x="24"/>
        <item x="34"/>
        <item x="7"/>
        <item x="16"/>
        <item x="48"/>
        <item x="49"/>
        <item x="17"/>
        <item x="1"/>
        <item x="52"/>
        <item x="56"/>
        <item x="11"/>
        <item x="2"/>
        <item x="45"/>
        <item x="46"/>
        <item x="29"/>
        <item t="default"/>
      </items>
    </pivotField>
    <pivotField axis="axisRow" showAll="0">
      <items count="5">
        <item x="3"/>
        <item x="1"/>
        <item x="2"/>
        <item x="0"/>
        <item t="default"/>
      </items>
    </pivotField>
    <pivotField showAll="0">
      <items count="3">
        <item x="1"/>
        <item x="0"/>
        <item t="default"/>
      </items>
    </pivotField>
    <pivotField showAll="0">
      <items count="9">
        <item x="3"/>
        <item x="7"/>
        <item x="1"/>
        <item x="5"/>
        <item x="4"/>
        <item x="2"/>
        <item x="0"/>
        <item x="6"/>
        <item t="default"/>
      </items>
    </pivotField>
    <pivotField showAll="0"/>
    <pivotField showAll="0">
      <items count="6">
        <item x="2"/>
        <item x="1"/>
        <item x="4"/>
        <item x="3"/>
        <item x="0"/>
        <item t="default"/>
      </items>
    </pivotField>
    <pivotField dataField="1" showAll="0"/>
    <pivotField showAll="0"/>
    <pivotField showAll="0"/>
    <pivotField numFmtId="165" showAll="0"/>
    <pivotField showAll="0"/>
    <pivotField showAll="0"/>
    <pivotField numFmtId="2" showAll="0"/>
    <pivotField numFmtId="2"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575A71-4571-4A3C-A517-ACB7AFA023B7}" sourceName="Region">
  <pivotTables>
    <pivotTable tabId="9" name="PivotTable7"/>
    <pivotTable tabId="9" name="PivotTable6"/>
    <pivotTable tabId="9" name="PivotTable8"/>
    <pivotTable tabId="9" name="PivotTable9"/>
    <pivotTable tabId="8" name="PivotTable1"/>
    <pivotTable tabId="8" name="PivotTable10"/>
    <pivotTable tabId="8" name="PivotTable2"/>
    <pivotTable tabId="8" name="PivotTable3"/>
    <pivotTable tabId="8" name="PivotTable4"/>
    <pivotTable tabId="8" name="PivotTable5"/>
  </pivotTables>
  <data>
    <tabular pivotCacheId="2061334745">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A9EB3C-2C2E-4267-8485-0D5CAB42BCCF}" sourceName="Category">
  <pivotTables>
    <pivotTable tabId="9" name="PivotTable7"/>
    <pivotTable tabId="9" name="PivotTable6"/>
    <pivotTable tabId="9" name="PivotTable8"/>
    <pivotTable tabId="9" name="PivotTable9"/>
    <pivotTable tabId="8" name="PivotTable1"/>
    <pivotTable tabId="8" name="PivotTable10"/>
    <pivotTable tabId="8" name="PivotTable2"/>
    <pivotTable tabId="8" name="PivotTable3"/>
    <pivotTable tabId="8" name="PivotTable4"/>
    <pivotTable tabId="8" name="PivotTable5"/>
  </pivotTables>
  <data>
    <tabular pivotCacheId="20613347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AEFEF72-D419-406A-9FB9-CE6106FC3BE4}" sourceName="SalesPerson">
  <pivotTables>
    <pivotTable tabId="9" name="PivotTable7"/>
    <pivotTable tabId="9" name="PivotTable6"/>
    <pivotTable tabId="9" name="PivotTable8"/>
    <pivotTable tabId="9" name="PivotTable9"/>
    <pivotTable tabId="8" name="PivotTable1"/>
    <pivotTable tabId="8" name="PivotTable10"/>
    <pivotTable tabId="8" name="PivotTable2"/>
    <pivotTable tabId="8" name="PivotTable3"/>
    <pivotTable tabId="8" name="PivotTable4"/>
    <pivotTable tabId="8" name="PivotTable5"/>
  </pivotTables>
  <data>
    <tabular pivotCacheId="2061334745">
      <items count="5">
        <i x="2" s="1"/>
        <i x="1"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F3AAB5-3709-4A69-B395-DC41F4D8C03C}" sourceName="Product">
  <pivotTables>
    <pivotTable tabId="9" name="PivotTable7"/>
    <pivotTable tabId="9" name="PivotTable6"/>
    <pivotTable tabId="9" name="PivotTable8"/>
    <pivotTable tabId="9" name="PivotTable9"/>
    <pivotTable tabId="8" name="PivotTable1"/>
    <pivotTable tabId="8" name="PivotTable10"/>
    <pivotTable tabId="8" name="PivotTable2"/>
    <pivotTable tabId="8" name="PivotTable3"/>
    <pivotTable tabId="8" name="PivotTable4"/>
    <pivotTable tabId="8" name="PivotTable5"/>
  </pivotTables>
  <data>
    <tabular pivotCacheId="2061334745">
      <items count="8">
        <i x="3" s="1"/>
        <i x="7" s="1"/>
        <i x="1" s="1"/>
        <i x="5" s="1"/>
        <i x="4" s="1"/>
        <i x="2"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3593C3-B9B4-4366-8AF9-6372B05A9224}" cache="Slicer_Region" caption="Region" style="SlicerStyleDark1" rowHeight="241300"/>
  <slicer name="Category" xr10:uid="{C982B987-3DE9-4D29-91B3-925811B3775D}" cache="Slicer_Category" caption="Category" style="SlicerStyleDark1" rowHeight="241300"/>
  <slicer name="SalesPerson" xr10:uid="{B1BED74C-1054-4A13-9D47-4251CD2A8045}" cache="Slicer_SalesPerson" caption="SalesPerson" style="SlicerStyleDark1" rowHeight="241300"/>
  <slicer name="Product" xr10:uid="{226BCC96-CBA8-4E3C-8AE6-DE2D24BEA6FB}" cache="Slicer_Product" caption="Produ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6DB60E-0A4C-4359-9E73-46BF690757A6}" name="Table1" displayName="Table1" ref="A1:Q201" totalsRowShown="0">
  <autoFilter ref="A1:Q201" xr:uid="{666DB60E-0A4C-4359-9E73-46BF690757A6}"/>
  <tableColumns count="17">
    <tableColumn id="1" xr3:uid="{E189858F-54DF-4458-81A9-80F9C21D7592}" name="OrderID"/>
    <tableColumn id="2" xr3:uid="{7B4A5BC0-0B9F-47F2-A9CB-6C9D2A26C1DB}" name="OrderDate" dataDxfId="4"/>
    <tableColumn id="3" xr3:uid="{FE3F1F07-9448-4D54-83AA-96E6E130A8FE}" name="Region"/>
    <tableColumn id="4" xr3:uid="{FFC64686-D8DB-4B9D-A172-7A72A8EEBF10}" name="Category"/>
    <tableColumn id="5" xr3:uid="{67E7C9FB-FFCE-4E39-95D9-ACEFCFE3E02B}" name="Product"/>
    <tableColumn id="6" xr3:uid="{6F39D50A-98E2-48F6-8D8E-74D42B0A5702}" name="CustomerName"/>
    <tableColumn id="7" xr3:uid="{F7C78FE4-DF59-471E-8BE0-BAAEE53C9496}" name="SalesPerson"/>
    <tableColumn id="8" xr3:uid="{18C97A96-6179-4FA6-B0F0-71E9AB242C27}" name="Sales"/>
    <tableColumn id="9" xr3:uid="{3703AA86-A2EB-447A-877C-16DE4ADB708F}" name="Cost"/>
    <tableColumn id="10" xr3:uid="{CE941E65-A927-4E3E-B777-0147634907AE}" name="Profit">
      <calculatedColumnFormula>H2-I2</calculatedColumnFormula>
    </tableColumn>
    <tableColumn id="11" xr3:uid="{B3306F32-76BA-4C78-85F2-7642541A0ACF}" name="Profit %" dataDxfId="3" dataCellStyle="Percent">
      <calculatedColumnFormula>J2/H2</calculatedColumnFormula>
    </tableColumn>
    <tableColumn id="12" xr3:uid="{F069DF9A-1B15-4F3E-BFD3-495905082445}" name="Profit_performance">
      <calculatedColumnFormula array="1">_xlfn.IFS(J2&gt;15000,"Excellent",J2&gt;=5000,"Good",J2&lt;5000,"Poor")</calculatedColumnFormula>
    </tableColumn>
    <tableColumn id="13" xr3:uid="{A4759A33-3763-483E-8157-FE49470F31D4}" name="Salary">
      <calculatedColumnFormula array="1">_xlfn.XLOOKUP(G2,' Employee_Salary'!$A$1:A6,' Employee_Salary'!$B$1:B6,FALSE)</calculatedColumnFormula>
    </tableColumn>
    <tableColumn id="14" xr3:uid="{2F80222B-40AF-480F-8002-C64F26854D33}" name="Sales_ratio" dataDxfId="2">
      <calculatedColumnFormula>M2/H2</calculatedColumnFormula>
    </tableColumn>
    <tableColumn id="15" xr3:uid="{CE97EB26-5827-47A4-98AF-9D77FC6D8403}" name="Comission" dataDxfId="1">
      <calculatedColumnFormula>IF(D2="Electronics",H2*5%,IF(D2="Furniture",H2*8%,0))</calculatedColumnFormula>
    </tableColumn>
    <tableColumn id="16" xr3:uid="{73FB4735-7464-42CB-BF33-44BFB04233BC}" name="Rank">
      <calculatedColumnFormula>_xlfn.RANK.EQ(H2,$H$2:$H$201,0)</calculatedColumnFormula>
    </tableColumn>
    <tableColumn id="17" xr3:uid="{BDD8F0FA-563A-40AF-8050-36B206A6D73E}" name="Running_total">
      <calculatedColumnFormula>SUMIFS($H$2:$H$201,$B$2:$B$201,"&lt;="&amp;B2)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workbookViewId="0">
      <selection activeCell="K3" sqref="K3"/>
    </sheetView>
  </sheetViews>
  <sheetFormatPr defaultRowHeight="14.5" x14ac:dyDescent="0.35"/>
  <cols>
    <col min="2" max="2" width="23" customWidth="1"/>
    <col min="7" max="7" width="22.6328125" customWidth="1"/>
  </cols>
  <sheetData>
    <row r="1" spans="1:9" x14ac:dyDescent="0.35">
      <c r="A1" t="s">
        <v>0</v>
      </c>
      <c r="B1" t="s">
        <v>1</v>
      </c>
      <c r="C1" t="s">
        <v>2</v>
      </c>
      <c r="D1" t="s">
        <v>3</v>
      </c>
      <c r="E1" t="s">
        <v>4</v>
      </c>
      <c r="F1" t="s">
        <v>5</v>
      </c>
      <c r="G1" t="s">
        <v>6</v>
      </c>
      <c r="H1" t="s">
        <v>7</v>
      </c>
      <c r="I1" t="s">
        <v>8</v>
      </c>
    </row>
    <row r="2" spans="1:9" x14ac:dyDescent="0.35">
      <c r="A2">
        <v>1</v>
      </c>
      <c r="B2" s="1">
        <v>45660</v>
      </c>
      <c r="C2" t="s">
        <v>9</v>
      </c>
      <c r="D2" t="s">
        <v>10</v>
      </c>
      <c r="E2" t="s">
        <v>11</v>
      </c>
      <c r="F2" t="s">
        <v>12</v>
      </c>
      <c r="G2" t="s">
        <v>13</v>
      </c>
      <c r="H2">
        <v>5811</v>
      </c>
      <c r="I2">
        <v>5067</v>
      </c>
    </row>
    <row r="3" spans="1:9" x14ac:dyDescent="0.35">
      <c r="A3">
        <v>2</v>
      </c>
      <c r="B3" s="1">
        <v>45710</v>
      </c>
      <c r="C3" t="s">
        <v>14</v>
      </c>
      <c r="D3" t="s">
        <v>10</v>
      </c>
      <c r="E3" t="s">
        <v>15</v>
      </c>
      <c r="F3" t="s">
        <v>16</v>
      </c>
      <c r="G3" t="s">
        <v>13</v>
      </c>
      <c r="H3">
        <v>13553</v>
      </c>
      <c r="I3">
        <v>8173</v>
      </c>
    </row>
    <row r="4" spans="1:9" x14ac:dyDescent="0.35">
      <c r="A4">
        <v>3</v>
      </c>
      <c r="B4" s="1">
        <v>45714</v>
      </c>
      <c r="C4" t="s">
        <v>17</v>
      </c>
      <c r="D4" t="s">
        <v>18</v>
      </c>
      <c r="E4" t="s">
        <v>19</v>
      </c>
      <c r="F4" t="s">
        <v>20</v>
      </c>
      <c r="G4" t="s">
        <v>13</v>
      </c>
      <c r="H4">
        <v>7987</v>
      </c>
      <c r="I4">
        <v>5653</v>
      </c>
    </row>
    <row r="5" spans="1:9" x14ac:dyDescent="0.35">
      <c r="A5">
        <v>4</v>
      </c>
      <c r="B5" s="1">
        <v>45710</v>
      </c>
      <c r="C5" t="s">
        <v>9</v>
      </c>
      <c r="D5" t="s">
        <v>10</v>
      </c>
      <c r="E5" t="s">
        <v>21</v>
      </c>
      <c r="F5" t="s">
        <v>22</v>
      </c>
      <c r="G5" t="s">
        <v>23</v>
      </c>
      <c r="H5">
        <v>3254</v>
      </c>
      <c r="I5">
        <v>2435</v>
      </c>
    </row>
    <row r="6" spans="1:9" x14ac:dyDescent="0.35">
      <c r="A6">
        <v>5</v>
      </c>
      <c r="B6" s="1">
        <v>45702</v>
      </c>
      <c r="C6" t="s">
        <v>17</v>
      </c>
      <c r="D6" t="s">
        <v>18</v>
      </c>
      <c r="E6" t="s">
        <v>19</v>
      </c>
      <c r="F6" t="s">
        <v>24</v>
      </c>
      <c r="G6" t="s">
        <v>23</v>
      </c>
      <c r="H6">
        <v>13732</v>
      </c>
      <c r="I6">
        <v>11076</v>
      </c>
    </row>
    <row r="7" spans="1:9" x14ac:dyDescent="0.35">
      <c r="A7">
        <v>6</v>
      </c>
      <c r="B7" s="1">
        <v>45669</v>
      </c>
      <c r="C7" t="s">
        <v>17</v>
      </c>
      <c r="D7" t="s">
        <v>10</v>
      </c>
      <c r="E7" t="s">
        <v>11</v>
      </c>
      <c r="F7" t="s">
        <v>25</v>
      </c>
      <c r="G7" t="s">
        <v>13</v>
      </c>
      <c r="H7">
        <v>17328</v>
      </c>
      <c r="I7">
        <v>14130</v>
      </c>
    </row>
    <row r="8" spans="1:9" x14ac:dyDescent="0.35">
      <c r="A8">
        <v>7</v>
      </c>
      <c r="B8" s="1">
        <v>45687</v>
      </c>
      <c r="C8" t="s">
        <v>14</v>
      </c>
      <c r="D8" t="s">
        <v>18</v>
      </c>
      <c r="E8" t="s">
        <v>26</v>
      </c>
      <c r="F8" t="s">
        <v>27</v>
      </c>
      <c r="G8" t="s">
        <v>28</v>
      </c>
      <c r="H8">
        <v>16650</v>
      </c>
      <c r="I8">
        <v>14634</v>
      </c>
    </row>
    <row r="9" spans="1:9" x14ac:dyDescent="0.35">
      <c r="A9">
        <v>8</v>
      </c>
      <c r="B9" s="1">
        <v>45661</v>
      </c>
      <c r="C9" t="s">
        <v>17</v>
      </c>
      <c r="D9" t="s">
        <v>18</v>
      </c>
      <c r="E9" t="s">
        <v>29</v>
      </c>
      <c r="F9" t="s">
        <v>30</v>
      </c>
      <c r="G9" t="s">
        <v>13</v>
      </c>
      <c r="H9">
        <v>4964</v>
      </c>
      <c r="I9">
        <v>3181</v>
      </c>
    </row>
    <row r="10" spans="1:9" x14ac:dyDescent="0.35">
      <c r="A10">
        <v>9</v>
      </c>
      <c r="B10" s="1">
        <v>45705</v>
      </c>
      <c r="C10" t="s">
        <v>14</v>
      </c>
      <c r="D10" t="s">
        <v>10</v>
      </c>
      <c r="E10" t="s">
        <v>11</v>
      </c>
      <c r="F10" t="s">
        <v>31</v>
      </c>
      <c r="G10" t="s">
        <v>23</v>
      </c>
      <c r="H10">
        <v>19497</v>
      </c>
      <c r="I10">
        <v>16208</v>
      </c>
    </row>
    <row r="11" spans="1:9" x14ac:dyDescent="0.35">
      <c r="A11">
        <v>10</v>
      </c>
      <c r="B11" s="1">
        <v>45693</v>
      </c>
      <c r="C11" t="s">
        <v>17</v>
      </c>
      <c r="D11" t="s">
        <v>18</v>
      </c>
      <c r="E11" t="s">
        <v>32</v>
      </c>
      <c r="F11" t="s">
        <v>25</v>
      </c>
      <c r="G11" t="s">
        <v>33</v>
      </c>
      <c r="H11">
        <v>29094</v>
      </c>
      <c r="I11">
        <v>19174</v>
      </c>
    </row>
    <row r="12" spans="1:9" x14ac:dyDescent="0.35">
      <c r="A12">
        <v>11</v>
      </c>
      <c r="B12" s="1">
        <v>45666</v>
      </c>
      <c r="C12" t="s">
        <v>9</v>
      </c>
      <c r="D12" t="s">
        <v>18</v>
      </c>
      <c r="E12" t="s">
        <v>19</v>
      </c>
      <c r="F12" t="s">
        <v>34</v>
      </c>
      <c r="G12" t="s">
        <v>35</v>
      </c>
      <c r="H12">
        <v>27904</v>
      </c>
      <c r="I12">
        <v>24463</v>
      </c>
    </row>
    <row r="13" spans="1:9" x14ac:dyDescent="0.35">
      <c r="A13">
        <v>12</v>
      </c>
      <c r="B13" s="1">
        <v>45680</v>
      </c>
      <c r="C13" t="s">
        <v>14</v>
      </c>
      <c r="D13" t="s">
        <v>18</v>
      </c>
      <c r="E13" t="s">
        <v>29</v>
      </c>
      <c r="F13" t="s">
        <v>36</v>
      </c>
      <c r="G13" t="s">
        <v>28</v>
      </c>
      <c r="H13">
        <v>9233</v>
      </c>
      <c r="I13">
        <v>6766</v>
      </c>
    </row>
    <row r="14" spans="1:9" x14ac:dyDescent="0.35">
      <c r="A14">
        <v>13</v>
      </c>
      <c r="B14" s="1">
        <v>45713</v>
      </c>
      <c r="C14" t="s">
        <v>37</v>
      </c>
      <c r="D14" t="s">
        <v>10</v>
      </c>
      <c r="E14" t="s">
        <v>15</v>
      </c>
      <c r="F14" t="s">
        <v>38</v>
      </c>
      <c r="G14" t="s">
        <v>13</v>
      </c>
      <c r="H14">
        <v>27329</v>
      </c>
      <c r="I14">
        <v>18038</v>
      </c>
    </row>
    <row r="15" spans="1:9" x14ac:dyDescent="0.35">
      <c r="A15">
        <v>14</v>
      </c>
      <c r="B15" s="1">
        <v>45700</v>
      </c>
      <c r="C15" t="s">
        <v>9</v>
      </c>
      <c r="D15" t="s">
        <v>10</v>
      </c>
      <c r="E15" t="s">
        <v>15</v>
      </c>
      <c r="F15" t="s">
        <v>39</v>
      </c>
      <c r="G15" t="s">
        <v>33</v>
      </c>
      <c r="H15">
        <v>6994</v>
      </c>
      <c r="I15">
        <v>5062</v>
      </c>
    </row>
    <row r="16" spans="1:9" x14ac:dyDescent="0.35">
      <c r="A16">
        <v>15</v>
      </c>
      <c r="B16" s="1">
        <v>45684</v>
      </c>
      <c r="C16" t="s">
        <v>37</v>
      </c>
      <c r="D16" t="s">
        <v>10</v>
      </c>
      <c r="E16" t="s">
        <v>11</v>
      </c>
      <c r="F16" t="s">
        <v>40</v>
      </c>
      <c r="G16" t="s">
        <v>13</v>
      </c>
      <c r="H16">
        <v>6822</v>
      </c>
      <c r="I16">
        <v>5407</v>
      </c>
    </row>
    <row r="17" spans="1:9" x14ac:dyDescent="0.35">
      <c r="A17">
        <v>16</v>
      </c>
      <c r="B17" s="1">
        <v>45670</v>
      </c>
      <c r="C17" t="s">
        <v>37</v>
      </c>
      <c r="D17" t="s">
        <v>18</v>
      </c>
      <c r="E17" t="s">
        <v>29</v>
      </c>
      <c r="F17" t="s">
        <v>34</v>
      </c>
      <c r="G17" t="s">
        <v>23</v>
      </c>
      <c r="H17">
        <v>14681</v>
      </c>
      <c r="I17">
        <v>11778</v>
      </c>
    </row>
    <row r="18" spans="1:9" x14ac:dyDescent="0.35">
      <c r="A18">
        <v>17</v>
      </c>
      <c r="B18" s="1">
        <v>45671</v>
      </c>
      <c r="C18" t="s">
        <v>9</v>
      </c>
      <c r="D18" t="s">
        <v>18</v>
      </c>
      <c r="E18" t="s">
        <v>26</v>
      </c>
      <c r="F18" t="s">
        <v>41</v>
      </c>
      <c r="G18" t="s">
        <v>28</v>
      </c>
      <c r="H18">
        <v>21800</v>
      </c>
      <c r="I18">
        <v>16672</v>
      </c>
    </row>
    <row r="19" spans="1:9" x14ac:dyDescent="0.35">
      <c r="A19">
        <v>18</v>
      </c>
      <c r="B19" s="1">
        <v>45706</v>
      </c>
      <c r="C19" t="s">
        <v>37</v>
      </c>
      <c r="D19" t="s">
        <v>18</v>
      </c>
      <c r="E19" t="s">
        <v>29</v>
      </c>
      <c r="F19" t="s">
        <v>36</v>
      </c>
      <c r="G19" t="s">
        <v>35</v>
      </c>
      <c r="H19">
        <v>27543</v>
      </c>
      <c r="I19">
        <v>21241</v>
      </c>
    </row>
    <row r="20" spans="1:9" x14ac:dyDescent="0.35">
      <c r="A20">
        <v>19</v>
      </c>
      <c r="B20" s="1">
        <v>45709</v>
      </c>
      <c r="C20" t="s">
        <v>17</v>
      </c>
      <c r="D20" t="s">
        <v>10</v>
      </c>
      <c r="E20" t="s">
        <v>42</v>
      </c>
      <c r="F20" t="s">
        <v>20</v>
      </c>
      <c r="G20" t="s">
        <v>28</v>
      </c>
      <c r="H20">
        <v>8177</v>
      </c>
      <c r="I20">
        <v>6277</v>
      </c>
    </row>
    <row r="21" spans="1:9" x14ac:dyDescent="0.35">
      <c r="A21">
        <v>20</v>
      </c>
      <c r="B21" s="1">
        <v>45688</v>
      </c>
      <c r="C21" t="s">
        <v>14</v>
      </c>
      <c r="D21" t="s">
        <v>18</v>
      </c>
      <c r="E21" t="s">
        <v>32</v>
      </c>
      <c r="F21" t="s">
        <v>43</v>
      </c>
      <c r="G21" t="s">
        <v>33</v>
      </c>
      <c r="H21">
        <v>17261</v>
      </c>
      <c r="I21">
        <v>14516</v>
      </c>
    </row>
    <row r="22" spans="1:9" x14ac:dyDescent="0.35">
      <c r="A22">
        <v>21</v>
      </c>
      <c r="B22" s="1">
        <v>45680</v>
      </c>
      <c r="C22" t="s">
        <v>37</v>
      </c>
      <c r="D22" t="s">
        <v>18</v>
      </c>
      <c r="E22" t="s">
        <v>26</v>
      </c>
      <c r="F22" t="s">
        <v>44</v>
      </c>
      <c r="G22" t="s">
        <v>28</v>
      </c>
      <c r="H22">
        <v>13080</v>
      </c>
      <c r="I22">
        <v>11394</v>
      </c>
    </row>
    <row r="23" spans="1:9" x14ac:dyDescent="0.35">
      <c r="A23">
        <v>22</v>
      </c>
      <c r="B23" s="1">
        <v>45683</v>
      </c>
      <c r="C23" t="s">
        <v>9</v>
      </c>
      <c r="D23" t="s">
        <v>10</v>
      </c>
      <c r="E23" t="s">
        <v>15</v>
      </c>
      <c r="F23" t="s">
        <v>45</v>
      </c>
      <c r="G23" t="s">
        <v>33</v>
      </c>
      <c r="H23">
        <v>12676</v>
      </c>
      <c r="I23">
        <v>8182</v>
      </c>
    </row>
    <row r="24" spans="1:9" x14ac:dyDescent="0.35">
      <c r="A24">
        <v>23</v>
      </c>
      <c r="B24" s="1">
        <v>45679</v>
      </c>
      <c r="C24" t="s">
        <v>9</v>
      </c>
      <c r="D24" t="s">
        <v>10</v>
      </c>
      <c r="E24" t="s">
        <v>21</v>
      </c>
      <c r="F24" t="s">
        <v>45</v>
      </c>
      <c r="G24" t="s">
        <v>13</v>
      </c>
      <c r="H24">
        <v>12995</v>
      </c>
      <c r="I24">
        <v>10838</v>
      </c>
    </row>
    <row r="25" spans="1:9" x14ac:dyDescent="0.35">
      <c r="A25">
        <v>24</v>
      </c>
      <c r="B25" s="1">
        <v>45714</v>
      </c>
      <c r="C25" t="s">
        <v>17</v>
      </c>
      <c r="D25" t="s">
        <v>10</v>
      </c>
      <c r="E25" t="s">
        <v>15</v>
      </c>
      <c r="F25" t="s">
        <v>46</v>
      </c>
      <c r="G25" t="s">
        <v>33</v>
      </c>
      <c r="H25">
        <v>26402</v>
      </c>
      <c r="I25">
        <v>22809</v>
      </c>
    </row>
    <row r="26" spans="1:9" x14ac:dyDescent="0.35">
      <c r="A26">
        <v>25</v>
      </c>
      <c r="B26" s="1">
        <v>45677</v>
      </c>
      <c r="C26" t="s">
        <v>17</v>
      </c>
      <c r="D26" t="s">
        <v>18</v>
      </c>
      <c r="E26" t="s">
        <v>29</v>
      </c>
      <c r="F26" t="s">
        <v>47</v>
      </c>
      <c r="G26" t="s">
        <v>33</v>
      </c>
      <c r="H26">
        <v>20499</v>
      </c>
      <c r="I26">
        <v>13107</v>
      </c>
    </row>
    <row r="27" spans="1:9" x14ac:dyDescent="0.35">
      <c r="A27">
        <v>26</v>
      </c>
      <c r="B27" s="1">
        <v>45682</v>
      </c>
      <c r="C27" t="s">
        <v>37</v>
      </c>
      <c r="D27" t="s">
        <v>10</v>
      </c>
      <c r="E27" t="s">
        <v>11</v>
      </c>
      <c r="F27" t="s">
        <v>48</v>
      </c>
      <c r="G27" t="s">
        <v>35</v>
      </c>
      <c r="H27">
        <v>22507</v>
      </c>
      <c r="I27">
        <v>15607</v>
      </c>
    </row>
    <row r="28" spans="1:9" x14ac:dyDescent="0.35">
      <c r="A28">
        <v>27</v>
      </c>
      <c r="B28" s="1">
        <v>45702</v>
      </c>
      <c r="C28" t="s">
        <v>37</v>
      </c>
      <c r="D28" t="s">
        <v>10</v>
      </c>
      <c r="E28" t="s">
        <v>21</v>
      </c>
      <c r="F28" t="s">
        <v>46</v>
      </c>
      <c r="G28" t="s">
        <v>35</v>
      </c>
      <c r="H28">
        <v>4786</v>
      </c>
      <c r="I28">
        <v>3412</v>
      </c>
    </row>
    <row r="29" spans="1:9" x14ac:dyDescent="0.35">
      <c r="A29">
        <v>28</v>
      </c>
      <c r="B29" s="1">
        <v>45668</v>
      </c>
      <c r="C29" t="s">
        <v>9</v>
      </c>
      <c r="D29" t="s">
        <v>18</v>
      </c>
      <c r="E29" t="s">
        <v>26</v>
      </c>
      <c r="F29" t="s">
        <v>43</v>
      </c>
      <c r="G29" t="s">
        <v>28</v>
      </c>
      <c r="H29">
        <v>26850</v>
      </c>
      <c r="I29">
        <v>20892</v>
      </c>
    </row>
    <row r="30" spans="1:9" x14ac:dyDescent="0.35">
      <c r="A30">
        <v>29</v>
      </c>
      <c r="B30" s="1">
        <v>45687</v>
      </c>
      <c r="C30" t="s">
        <v>37</v>
      </c>
      <c r="D30" t="s">
        <v>18</v>
      </c>
      <c r="E30" t="s">
        <v>19</v>
      </c>
      <c r="F30" t="s">
        <v>49</v>
      </c>
      <c r="G30" t="s">
        <v>23</v>
      </c>
      <c r="H30">
        <v>19466</v>
      </c>
      <c r="I30">
        <v>17460</v>
      </c>
    </row>
    <row r="31" spans="1:9" x14ac:dyDescent="0.35">
      <c r="A31">
        <v>30</v>
      </c>
      <c r="B31" s="1">
        <v>45703</v>
      </c>
      <c r="C31" t="s">
        <v>9</v>
      </c>
      <c r="D31" t="s">
        <v>10</v>
      </c>
      <c r="E31" t="s">
        <v>15</v>
      </c>
      <c r="F31" t="s">
        <v>36</v>
      </c>
      <c r="G31" t="s">
        <v>35</v>
      </c>
      <c r="H31">
        <v>14784</v>
      </c>
      <c r="I31">
        <v>9723</v>
      </c>
    </row>
    <row r="32" spans="1:9" x14ac:dyDescent="0.35">
      <c r="A32">
        <v>31</v>
      </c>
      <c r="B32" s="1">
        <v>45670</v>
      </c>
      <c r="C32" t="s">
        <v>9</v>
      </c>
      <c r="D32" t="s">
        <v>18</v>
      </c>
      <c r="E32" t="s">
        <v>29</v>
      </c>
      <c r="F32" t="s">
        <v>50</v>
      </c>
      <c r="G32" t="s">
        <v>35</v>
      </c>
      <c r="H32">
        <v>28085</v>
      </c>
      <c r="I32">
        <v>22509</v>
      </c>
    </row>
    <row r="33" spans="1:9" x14ac:dyDescent="0.35">
      <c r="A33">
        <v>32</v>
      </c>
      <c r="B33" s="1">
        <v>45675</v>
      </c>
      <c r="C33" t="s">
        <v>37</v>
      </c>
      <c r="D33" t="s">
        <v>18</v>
      </c>
      <c r="E33" t="s">
        <v>26</v>
      </c>
      <c r="F33" t="s">
        <v>51</v>
      </c>
      <c r="G33" t="s">
        <v>33</v>
      </c>
      <c r="H33">
        <v>11264</v>
      </c>
      <c r="I33">
        <v>9957</v>
      </c>
    </row>
    <row r="34" spans="1:9" x14ac:dyDescent="0.35">
      <c r="A34">
        <v>33</v>
      </c>
      <c r="B34" s="1">
        <v>45680</v>
      </c>
      <c r="C34" t="s">
        <v>17</v>
      </c>
      <c r="D34" t="s">
        <v>18</v>
      </c>
      <c r="E34" t="s">
        <v>29</v>
      </c>
      <c r="F34" t="s">
        <v>44</v>
      </c>
      <c r="G34" t="s">
        <v>28</v>
      </c>
      <c r="H34">
        <v>10384</v>
      </c>
      <c r="I34">
        <v>7534</v>
      </c>
    </row>
    <row r="35" spans="1:9" x14ac:dyDescent="0.35">
      <c r="A35">
        <v>34</v>
      </c>
      <c r="B35" s="1">
        <v>45674</v>
      </c>
      <c r="C35" t="s">
        <v>14</v>
      </c>
      <c r="D35" t="s">
        <v>18</v>
      </c>
      <c r="E35" t="s">
        <v>19</v>
      </c>
      <c r="F35" t="s">
        <v>39</v>
      </c>
      <c r="G35" t="s">
        <v>33</v>
      </c>
      <c r="H35">
        <v>13816</v>
      </c>
      <c r="I35">
        <v>9688</v>
      </c>
    </row>
    <row r="36" spans="1:9" x14ac:dyDescent="0.35">
      <c r="A36">
        <v>35</v>
      </c>
      <c r="B36" s="1">
        <v>45673</v>
      </c>
      <c r="C36" t="s">
        <v>9</v>
      </c>
      <c r="D36" t="s">
        <v>10</v>
      </c>
      <c r="E36" t="s">
        <v>15</v>
      </c>
      <c r="F36" t="s">
        <v>52</v>
      </c>
      <c r="G36" t="s">
        <v>13</v>
      </c>
      <c r="H36">
        <v>19945</v>
      </c>
      <c r="I36">
        <v>17781</v>
      </c>
    </row>
    <row r="37" spans="1:9" x14ac:dyDescent="0.35">
      <c r="A37">
        <v>36</v>
      </c>
      <c r="B37" s="1">
        <v>45713</v>
      </c>
      <c r="C37" t="s">
        <v>9</v>
      </c>
      <c r="D37" t="s">
        <v>10</v>
      </c>
      <c r="E37" t="s">
        <v>15</v>
      </c>
      <c r="F37" t="s">
        <v>40</v>
      </c>
      <c r="G37" t="s">
        <v>28</v>
      </c>
      <c r="H37">
        <v>12316</v>
      </c>
      <c r="I37">
        <v>10577</v>
      </c>
    </row>
    <row r="38" spans="1:9" x14ac:dyDescent="0.35">
      <c r="A38">
        <v>37</v>
      </c>
      <c r="B38" s="1">
        <v>45658</v>
      </c>
      <c r="C38" t="s">
        <v>9</v>
      </c>
      <c r="D38" t="s">
        <v>18</v>
      </c>
      <c r="E38" t="s">
        <v>26</v>
      </c>
      <c r="F38" t="s">
        <v>53</v>
      </c>
      <c r="G38" t="s">
        <v>33</v>
      </c>
      <c r="H38">
        <v>5269</v>
      </c>
      <c r="I38">
        <v>3833</v>
      </c>
    </row>
    <row r="39" spans="1:9" x14ac:dyDescent="0.35">
      <c r="A39">
        <v>38</v>
      </c>
      <c r="B39" s="1">
        <v>45661</v>
      </c>
      <c r="C39" t="s">
        <v>14</v>
      </c>
      <c r="D39" t="s">
        <v>10</v>
      </c>
      <c r="E39" t="s">
        <v>15</v>
      </c>
      <c r="F39" t="s">
        <v>43</v>
      </c>
      <c r="G39" t="s">
        <v>33</v>
      </c>
      <c r="H39">
        <v>23738</v>
      </c>
      <c r="I39">
        <v>16560</v>
      </c>
    </row>
    <row r="40" spans="1:9" x14ac:dyDescent="0.35">
      <c r="A40">
        <v>39</v>
      </c>
      <c r="B40" s="1">
        <v>45717</v>
      </c>
      <c r="C40" t="s">
        <v>37</v>
      </c>
      <c r="D40" t="s">
        <v>10</v>
      </c>
      <c r="E40" t="s">
        <v>11</v>
      </c>
      <c r="F40" t="s">
        <v>27</v>
      </c>
      <c r="G40" t="s">
        <v>23</v>
      </c>
      <c r="H40">
        <v>23819</v>
      </c>
      <c r="I40">
        <v>17508</v>
      </c>
    </row>
    <row r="41" spans="1:9" x14ac:dyDescent="0.35">
      <c r="A41">
        <v>40</v>
      </c>
      <c r="B41" s="1">
        <v>45696</v>
      </c>
      <c r="C41" t="s">
        <v>14</v>
      </c>
      <c r="D41" t="s">
        <v>18</v>
      </c>
      <c r="E41" t="s">
        <v>26</v>
      </c>
      <c r="F41" t="s">
        <v>38</v>
      </c>
      <c r="G41" t="s">
        <v>23</v>
      </c>
      <c r="H41">
        <v>4280</v>
      </c>
      <c r="I41">
        <v>2925</v>
      </c>
    </row>
    <row r="42" spans="1:9" x14ac:dyDescent="0.35">
      <c r="A42">
        <v>41</v>
      </c>
      <c r="B42" s="1">
        <v>45691</v>
      </c>
      <c r="C42" t="s">
        <v>17</v>
      </c>
      <c r="D42" t="s">
        <v>18</v>
      </c>
      <c r="E42" t="s">
        <v>26</v>
      </c>
      <c r="F42" t="s">
        <v>54</v>
      </c>
      <c r="G42" t="s">
        <v>33</v>
      </c>
      <c r="H42">
        <v>18083</v>
      </c>
      <c r="I42">
        <v>13861</v>
      </c>
    </row>
    <row r="43" spans="1:9" x14ac:dyDescent="0.35">
      <c r="A43">
        <v>42</v>
      </c>
      <c r="B43" s="1">
        <v>45681</v>
      </c>
      <c r="C43" t="s">
        <v>14</v>
      </c>
      <c r="D43" t="s">
        <v>10</v>
      </c>
      <c r="E43" t="s">
        <v>15</v>
      </c>
      <c r="F43" t="s">
        <v>46</v>
      </c>
      <c r="G43" t="s">
        <v>13</v>
      </c>
      <c r="H43">
        <v>22615</v>
      </c>
      <c r="I43">
        <v>14629</v>
      </c>
    </row>
    <row r="44" spans="1:9" x14ac:dyDescent="0.35">
      <c r="A44">
        <v>43</v>
      </c>
      <c r="B44" s="1">
        <v>45668</v>
      </c>
      <c r="C44" t="s">
        <v>17</v>
      </c>
      <c r="D44" t="s">
        <v>18</v>
      </c>
      <c r="E44" t="s">
        <v>32</v>
      </c>
      <c r="F44" t="s">
        <v>12</v>
      </c>
      <c r="G44" t="s">
        <v>33</v>
      </c>
      <c r="H44">
        <v>16811</v>
      </c>
      <c r="I44">
        <v>13746</v>
      </c>
    </row>
    <row r="45" spans="1:9" x14ac:dyDescent="0.35">
      <c r="A45">
        <v>44</v>
      </c>
      <c r="B45" s="1">
        <v>45682</v>
      </c>
      <c r="C45" t="s">
        <v>37</v>
      </c>
      <c r="D45" t="s">
        <v>10</v>
      </c>
      <c r="E45" t="s">
        <v>21</v>
      </c>
      <c r="F45" t="s">
        <v>53</v>
      </c>
      <c r="G45" t="s">
        <v>13</v>
      </c>
      <c r="H45">
        <v>12859</v>
      </c>
      <c r="I45">
        <v>8499</v>
      </c>
    </row>
    <row r="46" spans="1:9" x14ac:dyDescent="0.35">
      <c r="A46">
        <v>45</v>
      </c>
      <c r="B46" s="1">
        <v>45694</v>
      </c>
      <c r="C46" t="s">
        <v>37</v>
      </c>
      <c r="D46" t="s">
        <v>18</v>
      </c>
      <c r="E46" t="s">
        <v>29</v>
      </c>
      <c r="F46" t="s">
        <v>41</v>
      </c>
      <c r="G46" t="s">
        <v>33</v>
      </c>
      <c r="H46">
        <v>9025</v>
      </c>
      <c r="I46">
        <v>5975</v>
      </c>
    </row>
    <row r="47" spans="1:9" x14ac:dyDescent="0.35">
      <c r="A47">
        <v>46</v>
      </c>
      <c r="B47" s="1">
        <v>45704</v>
      </c>
      <c r="C47" t="s">
        <v>14</v>
      </c>
      <c r="D47" t="s">
        <v>10</v>
      </c>
      <c r="E47" t="s">
        <v>42</v>
      </c>
      <c r="F47" t="s">
        <v>52</v>
      </c>
      <c r="G47" t="s">
        <v>35</v>
      </c>
      <c r="H47">
        <v>27125</v>
      </c>
      <c r="I47">
        <v>24151</v>
      </c>
    </row>
    <row r="48" spans="1:9" x14ac:dyDescent="0.35">
      <c r="A48">
        <v>47</v>
      </c>
      <c r="B48" s="1">
        <v>45663</v>
      </c>
      <c r="C48" t="s">
        <v>37</v>
      </c>
      <c r="D48" t="s">
        <v>18</v>
      </c>
      <c r="E48" t="s">
        <v>32</v>
      </c>
      <c r="F48" t="s">
        <v>53</v>
      </c>
      <c r="G48" t="s">
        <v>28</v>
      </c>
      <c r="H48">
        <v>4910</v>
      </c>
      <c r="I48">
        <v>3805</v>
      </c>
    </row>
    <row r="49" spans="1:9" x14ac:dyDescent="0.35">
      <c r="A49">
        <v>48</v>
      </c>
      <c r="B49" s="1">
        <v>45687</v>
      </c>
      <c r="C49" t="s">
        <v>17</v>
      </c>
      <c r="D49" t="s">
        <v>10</v>
      </c>
      <c r="E49" t="s">
        <v>42</v>
      </c>
      <c r="F49" t="s">
        <v>50</v>
      </c>
      <c r="G49" t="s">
        <v>33</v>
      </c>
      <c r="H49">
        <v>13768</v>
      </c>
      <c r="I49">
        <v>10313</v>
      </c>
    </row>
    <row r="50" spans="1:9" x14ac:dyDescent="0.35">
      <c r="A50">
        <v>49</v>
      </c>
      <c r="B50" s="1">
        <v>45681</v>
      </c>
      <c r="C50" t="s">
        <v>17</v>
      </c>
      <c r="D50" t="s">
        <v>10</v>
      </c>
      <c r="E50" t="s">
        <v>15</v>
      </c>
      <c r="F50" t="s">
        <v>44</v>
      </c>
      <c r="G50" t="s">
        <v>35</v>
      </c>
      <c r="H50">
        <v>28518</v>
      </c>
      <c r="I50">
        <v>25660</v>
      </c>
    </row>
    <row r="51" spans="1:9" x14ac:dyDescent="0.35">
      <c r="A51">
        <v>50</v>
      </c>
      <c r="B51" s="1">
        <v>45706</v>
      </c>
      <c r="C51" t="s">
        <v>37</v>
      </c>
      <c r="D51" t="s">
        <v>10</v>
      </c>
      <c r="E51" t="s">
        <v>11</v>
      </c>
      <c r="F51" t="s">
        <v>54</v>
      </c>
      <c r="G51" t="s">
        <v>28</v>
      </c>
      <c r="H51">
        <v>24630</v>
      </c>
      <c r="I51">
        <v>16859</v>
      </c>
    </row>
    <row r="52" spans="1:9" x14ac:dyDescent="0.35">
      <c r="A52">
        <v>51</v>
      </c>
      <c r="B52" s="1">
        <v>45686</v>
      </c>
      <c r="C52" t="s">
        <v>17</v>
      </c>
      <c r="D52" t="s">
        <v>18</v>
      </c>
      <c r="E52" t="s">
        <v>19</v>
      </c>
      <c r="F52" t="s">
        <v>24</v>
      </c>
      <c r="G52" t="s">
        <v>33</v>
      </c>
      <c r="H52">
        <v>5943</v>
      </c>
      <c r="I52">
        <v>4384</v>
      </c>
    </row>
    <row r="53" spans="1:9" x14ac:dyDescent="0.35">
      <c r="A53">
        <v>52</v>
      </c>
      <c r="B53" s="1">
        <v>45700</v>
      </c>
      <c r="C53" t="s">
        <v>9</v>
      </c>
      <c r="D53" t="s">
        <v>10</v>
      </c>
      <c r="E53" t="s">
        <v>42</v>
      </c>
      <c r="F53" t="s">
        <v>52</v>
      </c>
      <c r="G53" t="s">
        <v>13</v>
      </c>
      <c r="H53">
        <v>12216</v>
      </c>
      <c r="I53">
        <v>8895</v>
      </c>
    </row>
    <row r="54" spans="1:9" x14ac:dyDescent="0.35">
      <c r="A54">
        <v>53</v>
      </c>
      <c r="B54" s="1">
        <v>45669</v>
      </c>
      <c r="C54" t="s">
        <v>14</v>
      </c>
      <c r="D54" t="s">
        <v>10</v>
      </c>
      <c r="E54" t="s">
        <v>42</v>
      </c>
      <c r="F54" t="s">
        <v>30</v>
      </c>
      <c r="G54" t="s">
        <v>28</v>
      </c>
      <c r="H54">
        <v>22306</v>
      </c>
      <c r="I54">
        <v>15746</v>
      </c>
    </row>
    <row r="55" spans="1:9" x14ac:dyDescent="0.35">
      <c r="A55">
        <v>54</v>
      </c>
      <c r="B55" s="1">
        <v>45667</v>
      </c>
      <c r="C55" t="s">
        <v>17</v>
      </c>
      <c r="D55" t="s">
        <v>10</v>
      </c>
      <c r="E55" t="s">
        <v>15</v>
      </c>
      <c r="F55" t="s">
        <v>20</v>
      </c>
      <c r="G55" t="s">
        <v>23</v>
      </c>
      <c r="H55">
        <v>17746</v>
      </c>
      <c r="I55">
        <v>11244</v>
      </c>
    </row>
    <row r="56" spans="1:9" x14ac:dyDescent="0.35">
      <c r="A56">
        <v>55</v>
      </c>
      <c r="B56" s="1">
        <v>45717</v>
      </c>
      <c r="C56" t="s">
        <v>9</v>
      </c>
      <c r="D56" t="s">
        <v>18</v>
      </c>
      <c r="E56" t="s">
        <v>32</v>
      </c>
      <c r="F56" t="s">
        <v>38</v>
      </c>
      <c r="G56" t="s">
        <v>28</v>
      </c>
      <c r="H56">
        <v>17314</v>
      </c>
      <c r="I56">
        <v>12062</v>
      </c>
    </row>
    <row r="57" spans="1:9" x14ac:dyDescent="0.35">
      <c r="A57">
        <v>56</v>
      </c>
      <c r="B57" s="1">
        <v>45678</v>
      </c>
      <c r="C57" t="s">
        <v>17</v>
      </c>
      <c r="D57" t="s">
        <v>10</v>
      </c>
      <c r="E57" t="s">
        <v>11</v>
      </c>
      <c r="F57" t="s">
        <v>48</v>
      </c>
      <c r="G57" t="s">
        <v>33</v>
      </c>
      <c r="H57">
        <v>26570</v>
      </c>
      <c r="I57">
        <v>20277</v>
      </c>
    </row>
    <row r="58" spans="1:9" x14ac:dyDescent="0.35">
      <c r="A58">
        <v>57</v>
      </c>
      <c r="B58" s="1">
        <v>45673</v>
      </c>
      <c r="C58" t="s">
        <v>9</v>
      </c>
      <c r="D58" t="s">
        <v>10</v>
      </c>
      <c r="E58" t="s">
        <v>42</v>
      </c>
      <c r="F58" t="s">
        <v>55</v>
      </c>
      <c r="G58" t="s">
        <v>35</v>
      </c>
      <c r="H58">
        <v>18440</v>
      </c>
      <c r="I58">
        <v>14772</v>
      </c>
    </row>
    <row r="59" spans="1:9" x14ac:dyDescent="0.35">
      <c r="A59">
        <v>58</v>
      </c>
      <c r="B59" s="1">
        <v>45677</v>
      </c>
      <c r="C59" t="s">
        <v>17</v>
      </c>
      <c r="D59" t="s">
        <v>10</v>
      </c>
      <c r="E59" t="s">
        <v>21</v>
      </c>
      <c r="F59" t="s">
        <v>55</v>
      </c>
      <c r="G59" t="s">
        <v>28</v>
      </c>
      <c r="H59">
        <v>18052</v>
      </c>
      <c r="I59">
        <v>16236</v>
      </c>
    </row>
    <row r="60" spans="1:9" x14ac:dyDescent="0.35">
      <c r="A60">
        <v>59</v>
      </c>
      <c r="B60" s="1">
        <v>45660</v>
      </c>
      <c r="C60" t="s">
        <v>14</v>
      </c>
      <c r="D60" t="s">
        <v>18</v>
      </c>
      <c r="E60" t="s">
        <v>29</v>
      </c>
      <c r="F60" t="s">
        <v>22</v>
      </c>
      <c r="G60" t="s">
        <v>28</v>
      </c>
      <c r="H60">
        <v>27796</v>
      </c>
      <c r="I60">
        <v>18235</v>
      </c>
    </row>
    <row r="61" spans="1:9" x14ac:dyDescent="0.35">
      <c r="A61">
        <v>60</v>
      </c>
      <c r="B61" s="1">
        <v>45683</v>
      </c>
      <c r="C61" t="s">
        <v>9</v>
      </c>
      <c r="D61" t="s">
        <v>10</v>
      </c>
      <c r="E61" t="s">
        <v>15</v>
      </c>
      <c r="F61" t="s">
        <v>56</v>
      </c>
      <c r="G61" t="s">
        <v>23</v>
      </c>
      <c r="H61">
        <v>21524</v>
      </c>
      <c r="I61">
        <v>14147</v>
      </c>
    </row>
    <row r="62" spans="1:9" x14ac:dyDescent="0.35">
      <c r="A62">
        <v>61</v>
      </c>
      <c r="B62" s="1">
        <v>45689</v>
      </c>
      <c r="C62" t="s">
        <v>9</v>
      </c>
      <c r="D62" t="s">
        <v>18</v>
      </c>
      <c r="E62" t="s">
        <v>19</v>
      </c>
      <c r="F62" t="s">
        <v>57</v>
      </c>
      <c r="G62" t="s">
        <v>13</v>
      </c>
      <c r="H62">
        <v>17658</v>
      </c>
      <c r="I62">
        <v>11884</v>
      </c>
    </row>
    <row r="63" spans="1:9" x14ac:dyDescent="0.35">
      <c r="A63">
        <v>62</v>
      </c>
      <c r="B63" s="1">
        <v>45659</v>
      </c>
      <c r="C63" t="s">
        <v>17</v>
      </c>
      <c r="D63" t="s">
        <v>18</v>
      </c>
      <c r="E63" t="s">
        <v>32</v>
      </c>
      <c r="F63" t="s">
        <v>58</v>
      </c>
      <c r="G63" t="s">
        <v>33</v>
      </c>
      <c r="H63">
        <v>16751</v>
      </c>
      <c r="I63">
        <v>12144</v>
      </c>
    </row>
    <row r="64" spans="1:9" x14ac:dyDescent="0.35">
      <c r="A64">
        <v>63</v>
      </c>
      <c r="B64" s="1">
        <v>45663</v>
      </c>
      <c r="C64" t="s">
        <v>17</v>
      </c>
      <c r="D64" t="s">
        <v>18</v>
      </c>
      <c r="E64" t="s">
        <v>32</v>
      </c>
      <c r="F64" t="s">
        <v>25</v>
      </c>
      <c r="G64" t="s">
        <v>13</v>
      </c>
      <c r="H64">
        <v>5069</v>
      </c>
      <c r="I64">
        <v>3665</v>
      </c>
    </row>
    <row r="65" spans="1:9" x14ac:dyDescent="0.35">
      <c r="A65">
        <v>64</v>
      </c>
      <c r="B65" s="1">
        <v>45704</v>
      </c>
      <c r="C65" t="s">
        <v>37</v>
      </c>
      <c r="D65" t="s">
        <v>10</v>
      </c>
      <c r="E65" t="s">
        <v>15</v>
      </c>
      <c r="F65" t="s">
        <v>59</v>
      </c>
      <c r="G65" t="s">
        <v>35</v>
      </c>
      <c r="H65">
        <v>29735</v>
      </c>
      <c r="I65">
        <v>24687</v>
      </c>
    </row>
    <row r="66" spans="1:9" x14ac:dyDescent="0.35">
      <c r="A66">
        <v>65</v>
      </c>
      <c r="B66" s="1">
        <v>45670</v>
      </c>
      <c r="C66" t="s">
        <v>17</v>
      </c>
      <c r="D66" t="s">
        <v>10</v>
      </c>
      <c r="E66" t="s">
        <v>21</v>
      </c>
      <c r="F66" t="s">
        <v>60</v>
      </c>
      <c r="G66" t="s">
        <v>35</v>
      </c>
      <c r="H66">
        <v>15491</v>
      </c>
      <c r="I66">
        <v>9853</v>
      </c>
    </row>
    <row r="67" spans="1:9" x14ac:dyDescent="0.35">
      <c r="A67">
        <v>66</v>
      </c>
      <c r="B67" s="1">
        <v>45713</v>
      </c>
      <c r="C67" t="s">
        <v>17</v>
      </c>
      <c r="D67" t="s">
        <v>10</v>
      </c>
      <c r="E67" t="s">
        <v>15</v>
      </c>
      <c r="F67" t="s">
        <v>61</v>
      </c>
      <c r="G67" t="s">
        <v>33</v>
      </c>
      <c r="H67">
        <v>28106</v>
      </c>
      <c r="I67">
        <v>25013</v>
      </c>
    </row>
    <row r="68" spans="1:9" x14ac:dyDescent="0.35">
      <c r="A68">
        <v>67</v>
      </c>
      <c r="B68" s="1">
        <v>45688</v>
      </c>
      <c r="C68" t="s">
        <v>14</v>
      </c>
      <c r="D68" t="s">
        <v>18</v>
      </c>
      <c r="E68" t="s">
        <v>29</v>
      </c>
      <c r="F68" t="s">
        <v>55</v>
      </c>
      <c r="G68" t="s">
        <v>35</v>
      </c>
      <c r="H68">
        <v>23089</v>
      </c>
      <c r="I68">
        <v>19254</v>
      </c>
    </row>
    <row r="69" spans="1:9" x14ac:dyDescent="0.35">
      <c r="A69">
        <v>68</v>
      </c>
      <c r="B69" s="1">
        <v>45678</v>
      </c>
      <c r="C69" t="s">
        <v>14</v>
      </c>
      <c r="D69" t="s">
        <v>18</v>
      </c>
      <c r="E69" t="s">
        <v>32</v>
      </c>
      <c r="F69" t="s">
        <v>24</v>
      </c>
      <c r="G69" t="s">
        <v>23</v>
      </c>
      <c r="H69">
        <v>20026</v>
      </c>
      <c r="I69">
        <v>17984</v>
      </c>
    </row>
    <row r="70" spans="1:9" x14ac:dyDescent="0.35">
      <c r="A70">
        <v>69</v>
      </c>
      <c r="B70" s="1">
        <v>45678</v>
      </c>
      <c r="C70" t="s">
        <v>9</v>
      </c>
      <c r="D70" t="s">
        <v>18</v>
      </c>
      <c r="E70" t="s">
        <v>26</v>
      </c>
      <c r="F70" t="s">
        <v>36</v>
      </c>
      <c r="G70" t="s">
        <v>13</v>
      </c>
      <c r="H70">
        <v>3988</v>
      </c>
      <c r="I70">
        <v>2714</v>
      </c>
    </row>
    <row r="71" spans="1:9" x14ac:dyDescent="0.35">
      <c r="A71">
        <v>70</v>
      </c>
      <c r="B71" s="1">
        <v>45668</v>
      </c>
      <c r="C71" t="s">
        <v>17</v>
      </c>
      <c r="D71" t="s">
        <v>10</v>
      </c>
      <c r="E71" t="s">
        <v>42</v>
      </c>
      <c r="F71" t="s">
        <v>22</v>
      </c>
      <c r="G71" t="s">
        <v>23</v>
      </c>
      <c r="H71">
        <v>9205</v>
      </c>
      <c r="I71">
        <v>8026</v>
      </c>
    </row>
    <row r="72" spans="1:9" x14ac:dyDescent="0.35">
      <c r="A72">
        <v>71</v>
      </c>
      <c r="B72" s="1">
        <v>45669</v>
      </c>
      <c r="C72" t="s">
        <v>37</v>
      </c>
      <c r="D72" t="s">
        <v>18</v>
      </c>
      <c r="E72" t="s">
        <v>26</v>
      </c>
      <c r="F72" t="s">
        <v>31</v>
      </c>
      <c r="G72" t="s">
        <v>28</v>
      </c>
      <c r="H72">
        <v>28902</v>
      </c>
      <c r="I72">
        <v>19105</v>
      </c>
    </row>
    <row r="73" spans="1:9" x14ac:dyDescent="0.35">
      <c r="A73">
        <v>72</v>
      </c>
      <c r="B73" s="1">
        <v>45690</v>
      </c>
      <c r="C73" t="s">
        <v>37</v>
      </c>
      <c r="D73" t="s">
        <v>18</v>
      </c>
      <c r="E73" t="s">
        <v>26</v>
      </c>
      <c r="F73" t="s">
        <v>62</v>
      </c>
      <c r="G73" t="s">
        <v>23</v>
      </c>
      <c r="H73">
        <v>17678</v>
      </c>
      <c r="I73">
        <v>14746</v>
      </c>
    </row>
    <row r="74" spans="1:9" x14ac:dyDescent="0.35">
      <c r="A74">
        <v>73</v>
      </c>
      <c r="B74" s="1">
        <v>45676</v>
      </c>
      <c r="C74" t="s">
        <v>9</v>
      </c>
      <c r="D74" t="s">
        <v>18</v>
      </c>
      <c r="E74" t="s">
        <v>29</v>
      </c>
      <c r="F74" t="s">
        <v>53</v>
      </c>
      <c r="G74" t="s">
        <v>35</v>
      </c>
      <c r="H74">
        <v>26496</v>
      </c>
      <c r="I74">
        <v>23793</v>
      </c>
    </row>
    <row r="75" spans="1:9" x14ac:dyDescent="0.35">
      <c r="A75">
        <v>74</v>
      </c>
      <c r="B75" s="1">
        <v>45702</v>
      </c>
      <c r="C75" t="s">
        <v>14</v>
      </c>
      <c r="D75" t="s">
        <v>18</v>
      </c>
      <c r="E75" t="s">
        <v>32</v>
      </c>
      <c r="F75" t="s">
        <v>63</v>
      </c>
      <c r="G75" t="s">
        <v>23</v>
      </c>
      <c r="H75">
        <v>6369</v>
      </c>
      <c r="I75">
        <v>5405</v>
      </c>
    </row>
    <row r="76" spans="1:9" x14ac:dyDescent="0.35">
      <c r="A76">
        <v>75</v>
      </c>
      <c r="B76" s="1">
        <v>45670</v>
      </c>
      <c r="C76" t="s">
        <v>9</v>
      </c>
      <c r="D76" t="s">
        <v>18</v>
      </c>
      <c r="E76" t="s">
        <v>19</v>
      </c>
      <c r="F76" t="s">
        <v>22</v>
      </c>
      <c r="G76" t="s">
        <v>35</v>
      </c>
      <c r="H76">
        <v>17004</v>
      </c>
      <c r="I76">
        <v>10698</v>
      </c>
    </row>
    <row r="77" spans="1:9" x14ac:dyDescent="0.35">
      <c r="A77">
        <v>76</v>
      </c>
      <c r="B77" s="1">
        <v>45695</v>
      </c>
      <c r="C77" t="s">
        <v>9</v>
      </c>
      <c r="D77" t="s">
        <v>10</v>
      </c>
      <c r="E77" t="s">
        <v>11</v>
      </c>
      <c r="F77" t="s">
        <v>45</v>
      </c>
      <c r="G77" t="s">
        <v>28</v>
      </c>
      <c r="H77">
        <v>5148</v>
      </c>
      <c r="I77">
        <v>3856</v>
      </c>
    </row>
    <row r="78" spans="1:9" x14ac:dyDescent="0.35">
      <c r="A78">
        <v>77</v>
      </c>
      <c r="B78" s="1">
        <v>45676</v>
      </c>
      <c r="C78" t="s">
        <v>9</v>
      </c>
      <c r="D78" t="s">
        <v>18</v>
      </c>
      <c r="E78" t="s">
        <v>26</v>
      </c>
      <c r="F78" t="s">
        <v>64</v>
      </c>
      <c r="G78" t="s">
        <v>33</v>
      </c>
      <c r="H78">
        <v>5919</v>
      </c>
      <c r="I78">
        <v>5047</v>
      </c>
    </row>
    <row r="79" spans="1:9" x14ac:dyDescent="0.35">
      <c r="A79">
        <v>78</v>
      </c>
      <c r="B79" s="1">
        <v>45696</v>
      </c>
      <c r="C79" t="s">
        <v>9</v>
      </c>
      <c r="D79" t="s">
        <v>10</v>
      </c>
      <c r="E79" t="s">
        <v>42</v>
      </c>
      <c r="F79" t="s">
        <v>56</v>
      </c>
      <c r="G79" t="s">
        <v>33</v>
      </c>
      <c r="H79">
        <v>12848</v>
      </c>
      <c r="I79">
        <v>10792</v>
      </c>
    </row>
    <row r="80" spans="1:9" x14ac:dyDescent="0.35">
      <c r="A80">
        <v>79</v>
      </c>
      <c r="B80" s="1">
        <v>45663</v>
      </c>
      <c r="C80" t="s">
        <v>37</v>
      </c>
      <c r="D80" t="s">
        <v>10</v>
      </c>
      <c r="E80" t="s">
        <v>42</v>
      </c>
      <c r="F80" t="s">
        <v>39</v>
      </c>
      <c r="G80" t="s">
        <v>23</v>
      </c>
      <c r="H80">
        <v>12268</v>
      </c>
      <c r="I80">
        <v>8818</v>
      </c>
    </row>
    <row r="81" spans="1:9" x14ac:dyDescent="0.35">
      <c r="A81">
        <v>80</v>
      </c>
      <c r="B81" s="1">
        <v>45705</v>
      </c>
      <c r="C81" t="s">
        <v>37</v>
      </c>
      <c r="D81" t="s">
        <v>18</v>
      </c>
      <c r="E81" t="s">
        <v>29</v>
      </c>
      <c r="F81" t="s">
        <v>40</v>
      </c>
      <c r="G81" t="s">
        <v>23</v>
      </c>
      <c r="H81">
        <v>26582</v>
      </c>
      <c r="I81">
        <v>19041</v>
      </c>
    </row>
    <row r="82" spans="1:9" x14ac:dyDescent="0.35">
      <c r="A82">
        <v>81</v>
      </c>
      <c r="B82" s="1">
        <v>45697</v>
      </c>
      <c r="C82" t="s">
        <v>9</v>
      </c>
      <c r="D82" t="s">
        <v>18</v>
      </c>
      <c r="E82" t="s">
        <v>26</v>
      </c>
      <c r="F82" t="s">
        <v>27</v>
      </c>
      <c r="G82" t="s">
        <v>33</v>
      </c>
      <c r="H82">
        <v>16473</v>
      </c>
      <c r="I82">
        <v>14646</v>
      </c>
    </row>
    <row r="83" spans="1:9" x14ac:dyDescent="0.35">
      <c r="A83">
        <v>82</v>
      </c>
      <c r="B83" s="1">
        <v>45680</v>
      </c>
      <c r="C83" t="s">
        <v>17</v>
      </c>
      <c r="D83" t="s">
        <v>18</v>
      </c>
      <c r="E83" t="s">
        <v>19</v>
      </c>
      <c r="F83" t="s">
        <v>53</v>
      </c>
      <c r="G83" t="s">
        <v>23</v>
      </c>
      <c r="H83">
        <v>25437</v>
      </c>
      <c r="I83">
        <v>18625</v>
      </c>
    </row>
    <row r="84" spans="1:9" x14ac:dyDescent="0.35">
      <c r="A84">
        <v>83</v>
      </c>
      <c r="B84" s="1">
        <v>45687</v>
      </c>
      <c r="C84" t="s">
        <v>14</v>
      </c>
      <c r="D84" t="s">
        <v>18</v>
      </c>
      <c r="E84" t="s">
        <v>32</v>
      </c>
      <c r="F84" t="s">
        <v>65</v>
      </c>
      <c r="G84" t="s">
        <v>13</v>
      </c>
      <c r="H84">
        <v>6512</v>
      </c>
      <c r="I84">
        <v>4039</v>
      </c>
    </row>
    <row r="85" spans="1:9" x14ac:dyDescent="0.35">
      <c r="A85">
        <v>84</v>
      </c>
      <c r="B85" s="1">
        <v>45688</v>
      </c>
      <c r="C85" t="s">
        <v>17</v>
      </c>
      <c r="D85" t="s">
        <v>18</v>
      </c>
      <c r="E85" t="s">
        <v>26</v>
      </c>
      <c r="F85" t="s">
        <v>38</v>
      </c>
      <c r="G85" t="s">
        <v>35</v>
      </c>
      <c r="H85">
        <v>13717</v>
      </c>
      <c r="I85">
        <v>9719</v>
      </c>
    </row>
    <row r="86" spans="1:9" x14ac:dyDescent="0.35">
      <c r="A86">
        <v>85</v>
      </c>
      <c r="B86" s="1">
        <v>45683</v>
      </c>
      <c r="C86" t="s">
        <v>9</v>
      </c>
      <c r="D86" t="s">
        <v>10</v>
      </c>
      <c r="E86" t="s">
        <v>11</v>
      </c>
      <c r="F86" t="s">
        <v>34</v>
      </c>
      <c r="G86" t="s">
        <v>35</v>
      </c>
      <c r="H86">
        <v>16696</v>
      </c>
      <c r="I86">
        <v>12537</v>
      </c>
    </row>
    <row r="87" spans="1:9" x14ac:dyDescent="0.35">
      <c r="A87">
        <v>86</v>
      </c>
      <c r="B87" s="1">
        <v>45700</v>
      </c>
      <c r="C87" t="s">
        <v>9</v>
      </c>
      <c r="D87" t="s">
        <v>18</v>
      </c>
      <c r="E87" t="s">
        <v>32</v>
      </c>
      <c r="F87" t="s">
        <v>49</v>
      </c>
      <c r="G87" t="s">
        <v>13</v>
      </c>
      <c r="H87">
        <v>16152</v>
      </c>
      <c r="I87">
        <v>13688</v>
      </c>
    </row>
    <row r="88" spans="1:9" x14ac:dyDescent="0.35">
      <c r="A88">
        <v>87</v>
      </c>
      <c r="B88" s="1">
        <v>45705</v>
      </c>
      <c r="C88" t="s">
        <v>9</v>
      </c>
      <c r="D88" t="s">
        <v>18</v>
      </c>
      <c r="E88" t="s">
        <v>32</v>
      </c>
      <c r="F88" t="s">
        <v>50</v>
      </c>
      <c r="G88" t="s">
        <v>35</v>
      </c>
      <c r="H88">
        <v>23879</v>
      </c>
      <c r="I88">
        <v>16308</v>
      </c>
    </row>
    <row r="89" spans="1:9" x14ac:dyDescent="0.35">
      <c r="A89">
        <v>88</v>
      </c>
      <c r="B89" s="1">
        <v>45710</v>
      </c>
      <c r="C89" t="s">
        <v>14</v>
      </c>
      <c r="D89" t="s">
        <v>10</v>
      </c>
      <c r="E89" t="s">
        <v>21</v>
      </c>
      <c r="F89" t="s">
        <v>54</v>
      </c>
      <c r="G89" t="s">
        <v>28</v>
      </c>
      <c r="H89">
        <v>19812</v>
      </c>
      <c r="I89">
        <v>15108</v>
      </c>
    </row>
    <row r="90" spans="1:9" x14ac:dyDescent="0.35">
      <c r="A90">
        <v>89</v>
      </c>
      <c r="B90" s="1">
        <v>45694</v>
      </c>
      <c r="C90" t="s">
        <v>37</v>
      </c>
      <c r="D90" t="s">
        <v>10</v>
      </c>
      <c r="E90" t="s">
        <v>11</v>
      </c>
      <c r="F90" t="s">
        <v>40</v>
      </c>
      <c r="G90" t="s">
        <v>35</v>
      </c>
      <c r="H90">
        <v>28689</v>
      </c>
      <c r="I90">
        <v>23198</v>
      </c>
    </row>
    <row r="91" spans="1:9" x14ac:dyDescent="0.35">
      <c r="A91">
        <v>90</v>
      </c>
      <c r="B91" s="1">
        <v>45717</v>
      </c>
      <c r="C91" t="s">
        <v>17</v>
      </c>
      <c r="D91" t="s">
        <v>10</v>
      </c>
      <c r="E91" t="s">
        <v>42</v>
      </c>
      <c r="F91" t="s">
        <v>66</v>
      </c>
      <c r="G91" t="s">
        <v>13</v>
      </c>
      <c r="H91">
        <v>22720</v>
      </c>
      <c r="I91">
        <v>16964</v>
      </c>
    </row>
    <row r="92" spans="1:9" x14ac:dyDescent="0.35">
      <c r="A92">
        <v>91</v>
      </c>
      <c r="B92" s="1">
        <v>45705</v>
      </c>
      <c r="C92" t="s">
        <v>17</v>
      </c>
      <c r="D92" t="s">
        <v>18</v>
      </c>
      <c r="E92" t="s">
        <v>19</v>
      </c>
      <c r="F92" t="s">
        <v>16</v>
      </c>
      <c r="G92" t="s">
        <v>28</v>
      </c>
      <c r="H92">
        <v>21070</v>
      </c>
      <c r="I92">
        <v>14232</v>
      </c>
    </row>
    <row r="93" spans="1:9" x14ac:dyDescent="0.35">
      <c r="A93">
        <v>92</v>
      </c>
      <c r="B93" s="1">
        <v>45677</v>
      </c>
      <c r="C93" t="s">
        <v>37</v>
      </c>
      <c r="D93" t="s">
        <v>10</v>
      </c>
      <c r="E93" t="s">
        <v>42</v>
      </c>
      <c r="F93" t="s">
        <v>61</v>
      </c>
      <c r="G93" t="s">
        <v>33</v>
      </c>
      <c r="H93">
        <v>5006</v>
      </c>
      <c r="I93">
        <v>3123</v>
      </c>
    </row>
    <row r="94" spans="1:9" x14ac:dyDescent="0.35">
      <c r="A94">
        <v>93</v>
      </c>
      <c r="B94" s="1">
        <v>45715</v>
      </c>
      <c r="C94" t="s">
        <v>17</v>
      </c>
      <c r="D94" t="s">
        <v>10</v>
      </c>
      <c r="E94" t="s">
        <v>11</v>
      </c>
      <c r="F94" t="s">
        <v>67</v>
      </c>
      <c r="G94" t="s">
        <v>33</v>
      </c>
      <c r="H94">
        <v>3008</v>
      </c>
      <c r="I94">
        <v>2561</v>
      </c>
    </row>
    <row r="95" spans="1:9" x14ac:dyDescent="0.35">
      <c r="A95">
        <v>94</v>
      </c>
      <c r="B95" s="1">
        <v>45670</v>
      </c>
      <c r="C95" t="s">
        <v>17</v>
      </c>
      <c r="D95" t="s">
        <v>18</v>
      </c>
      <c r="E95" t="s">
        <v>29</v>
      </c>
      <c r="F95" t="s">
        <v>68</v>
      </c>
      <c r="G95" t="s">
        <v>23</v>
      </c>
      <c r="H95">
        <v>16731</v>
      </c>
      <c r="I95">
        <v>11214</v>
      </c>
    </row>
    <row r="96" spans="1:9" x14ac:dyDescent="0.35">
      <c r="A96">
        <v>95</v>
      </c>
      <c r="B96" s="1">
        <v>45716</v>
      </c>
      <c r="C96" t="s">
        <v>37</v>
      </c>
      <c r="D96" t="s">
        <v>10</v>
      </c>
      <c r="E96" t="s">
        <v>42</v>
      </c>
      <c r="F96" t="s">
        <v>68</v>
      </c>
      <c r="G96" t="s">
        <v>33</v>
      </c>
      <c r="H96">
        <v>25721</v>
      </c>
      <c r="I96">
        <v>20828</v>
      </c>
    </row>
    <row r="97" spans="1:9" x14ac:dyDescent="0.35">
      <c r="A97">
        <v>96</v>
      </c>
      <c r="B97" s="1">
        <v>45685</v>
      </c>
      <c r="C97" t="s">
        <v>17</v>
      </c>
      <c r="D97" t="s">
        <v>18</v>
      </c>
      <c r="E97" t="s">
        <v>26</v>
      </c>
      <c r="F97" t="s">
        <v>44</v>
      </c>
      <c r="G97" t="s">
        <v>33</v>
      </c>
      <c r="H97">
        <v>12746</v>
      </c>
      <c r="I97">
        <v>9105</v>
      </c>
    </row>
    <row r="98" spans="1:9" x14ac:dyDescent="0.35">
      <c r="A98">
        <v>97</v>
      </c>
      <c r="B98" s="1">
        <v>45669</v>
      </c>
      <c r="C98" t="s">
        <v>17</v>
      </c>
      <c r="D98" t="s">
        <v>10</v>
      </c>
      <c r="E98" t="s">
        <v>11</v>
      </c>
      <c r="F98" t="s">
        <v>69</v>
      </c>
      <c r="G98" t="s">
        <v>23</v>
      </c>
      <c r="H98">
        <v>17130</v>
      </c>
      <c r="I98">
        <v>12065</v>
      </c>
    </row>
    <row r="99" spans="1:9" x14ac:dyDescent="0.35">
      <c r="A99">
        <v>98</v>
      </c>
      <c r="B99" s="1">
        <v>45707</v>
      </c>
      <c r="C99" t="s">
        <v>37</v>
      </c>
      <c r="D99" t="s">
        <v>10</v>
      </c>
      <c r="E99" t="s">
        <v>42</v>
      </c>
      <c r="F99" t="s">
        <v>52</v>
      </c>
      <c r="G99" t="s">
        <v>33</v>
      </c>
      <c r="H99">
        <v>19263</v>
      </c>
      <c r="I99">
        <v>13395</v>
      </c>
    </row>
    <row r="100" spans="1:9" x14ac:dyDescent="0.35">
      <c r="A100">
        <v>99</v>
      </c>
      <c r="B100" s="1">
        <v>45710</v>
      </c>
      <c r="C100" t="s">
        <v>37</v>
      </c>
      <c r="D100" t="s">
        <v>18</v>
      </c>
      <c r="E100" t="s">
        <v>32</v>
      </c>
      <c r="F100" t="s">
        <v>70</v>
      </c>
      <c r="G100" t="s">
        <v>28</v>
      </c>
      <c r="H100">
        <v>19662</v>
      </c>
      <c r="I100">
        <v>14327</v>
      </c>
    </row>
    <row r="101" spans="1:9" x14ac:dyDescent="0.35">
      <c r="A101">
        <v>100</v>
      </c>
      <c r="B101" s="1">
        <v>45709</v>
      </c>
      <c r="C101" t="s">
        <v>17</v>
      </c>
      <c r="D101" t="s">
        <v>10</v>
      </c>
      <c r="E101" t="s">
        <v>21</v>
      </c>
      <c r="F101" t="s">
        <v>47</v>
      </c>
      <c r="G101" t="s">
        <v>28</v>
      </c>
      <c r="H101">
        <v>25528</v>
      </c>
      <c r="I101">
        <v>22200</v>
      </c>
    </row>
    <row r="102" spans="1:9" x14ac:dyDescent="0.35">
      <c r="A102">
        <v>101</v>
      </c>
      <c r="B102" s="1">
        <v>45694</v>
      </c>
      <c r="C102" t="s">
        <v>9</v>
      </c>
      <c r="D102" t="s">
        <v>10</v>
      </c>
      <c r="E102" t="s">
        <v>42</v>
      </c>
      <c r="F102" t="s">
        <v>68</v>
      </c>
      <c r="G102" t="s">
        <v>35</v>
      </c>
      <c r="H102">
        <v>5348</v>
      </c>
      <c r="I102">
        <v>3731</v>
      </c>
    </row>
    <row r="103" spans="1:9" x14ac:dyDescent="0.35">
      <c r="A103">
        <v>102</v>
      </c>
      <c r="B103" s="1">
        <v>45716</v>
      </c>
      <c r="C103" t="s">
        <v>37</v>
      </c>
      <c r="D103" t="s">
        <v>18</v>
      </c>
      <c r="E103" t="s">
        <v>32</v>
      </c>
      <c r="F103" t="s">
        <v>51</v>
      </c>
      <c r="G103" t="s">
        <v>35</v>
      </c>
      <c r="H103">
        <v>22285</v>
      </c>
      <c r="I103">
        <v>14394</v>
      </c>
    </row>
    <row r="104" spans="1:9" x14ac:dyDescent="0.35">
      <c r="A104">
        <v>103</v>
      </c>
      <c r="B104" s="1">
        <v>45661</v>
      </c>
      <c r="C104" t="s">
        <v>17</v>
      </c>
      <c r="D104" t="s">
        <v>10</v>
      </c>
      <c r="E104" t="s">
        <v>11</v>
      </c>
      <c r="F104" t="s">
        <v>71</v>
      </c>
      <c r="G104" t="s">
        <v>33</v>
      </c>
      <c r="H104">
        <v>17832</v>
      </c>
      <c r="I104">
        <v>14995</v>
      </c>
    </row>
    <row r="105" spans="1:9" x14ac:dyDescent="0.35">
      <c r="A105">
        <v>104</v>
      </c>
      <c r="B105" s="1">
        <v>45708</v>
      </c>
      <c r="C105" t="s">
        <v>17</v>
      </c>
      <c r="D105" t="s">
        <v>18</v>
      </c>
      <c r="E105" t="s">
        <v>32</v>
      </c>
      <c r="F105" t="s">
        <v>55</v>
      </c>
      <c r="G105" t="s">
        <v>23</v>
      </c>
      <c r="H105">
        <v>18659</v>
      </c>
      <c r="I105">
        <v>11399</v>
      </c>
    </row>
    <row r="106" spans="1:9" x14ac:dyDescent="0.35">
      <c r="A106">
        <v>105</v>
      </c>
      <c r="B106" s="1">
        <v>45680</v>
      </c>
      <c r="C106" t="s">
        <v>17</v>
      </c>
      <c r="D106" t="s">
        <v>10</v>
      </c>
      <c r="E106" t="s">
        <v>15</v>
      </c>
      <c r="F106" t="s">
        <v>36</v>
      </c>
      <c r="G106" t="s">
        <v>23</v>
      </c>
      <c r="H106">
        <v>8814</v>
      </c>
      <c r="I106">
        <v>7395</v>
      </c>
    </row>
    <row r="107" spans="1:9" x14ac:dyDescent="0.35">
      <c r="A107">
        <v>106</v>
      </c>
      <c r="B107" s="1">
        <v>45706</v>
      </c>
      <c r="C107" t="s">
        <v>37</v>
      </c>
      <c r="D107" t="s">
        <v>10</v>
      </c>
      <c r="E107" t="s">
        <v>15</v>
      </c>
      <c r="F107" t="s">
        <v>53</v>
      </c>
      <c r="G107" t="s">
        <v>28</v>
      </c>
      <c r="H107">
        <v>18540</v>
      </c>
      <c r="I107">
        <v>13865</v>
      </c>
    </row>
    <row r="108" spans="1:9" x14ac:dyDescent="0.35">
      <c r="A108">
        <v>107</v>
      </c>
      <c r="B108" s="1">
        <v>45681</v>
      </c>
      <c r="C108" t="s">
        <v>37</v>
      </c>
      <c r="D108" t="s">
        <v>18</v>
      </c>
      <c r="E108" t="s">
        <v>26</v>
      </c>
      <c r="F108" t="s">
        <v>46</v>
      </c>
      <c r="G108" t="s">
        <v>13</v>
      </c>
      <c r="H108">
        <v>11682</v>
      </c>
      <c r="I108">
        <v>7094</v>
      </c>
    </row>
    <row r="109" spans="1:9" x14ac:dyDescent="0.35">
      <c r="A109">
        <v>108</v>
      </c>
      <c r="B109" s="1">
        <v>45679</v>
      </c>
      <c r="C109" t="s">
        <v>14</v>
      </c>
      <c r="D109" t="s">
        <v>18</v>
      </c>
      <c r="E109" t="s">
        <v>19</v>
      </c>
      <c r="F109" t="s">
        <v>40</v>
      </c>
      <c r="G109" t="s">
        <v>13</v>
      </c>
      <c r="H109">
        <v>28130</v>
      </c>
      <c r="I109">
        <v>17510</v>
      </c>
    </row>
    <row r="110" spans="1:9" x14ac:dyDescent="0.35">
      <c r="A110">
        <v>109</v>
      </c>
      <c r="B110" s="1">
        <v>45677</v>
      </c>
      <c r="C110" t="s">
        <v>17</v>
      </c>
      <c r="D110" t="s">
        <v>18</v>
      </c>
      <c r="E110" t="s">
        <v>26</v>
      </c>
      <c r="F110" t="s">
        <v>44</v>
      </c>
      <c r="G110" t="s">
        <v>28</v>
      </c>
      <c r="H110">
        <v>12219</v>
      </c>
      <c r="I110">
        <v>9328</v>
      </c>
    </row>
    <row r="111" spans="1:9" x14ac:dyDescent="0.35">
      <c r="A111">
        <v>110</v>
      </c>
      <c r="B111" s="1">
        <v>45696</v>
      </c>
      <c r="C111" t="s">
        <v>14</v>
      </c>
      <c r="D111" t="s">
        <v>18</v>
      </c>
      <c r="E111" t="s">
        <v>26</v>
      </c>
      <c r="F111" t="s">
        <v>62</v>
      </c>
      <c r="G111" t="s">
        <v>28</v>
      </c>
      <c r="H111">
        <v>13169</v>
      </c>
      <c r="I111">
        <v>8888</v>
      </c>
    </row>
    <row r="112" spans="1:9" x14ac:dyDescent="0.35">
      <c r="A112">
        <v>111</v>
      </c>
      <c r="B112" s="1">
        <v>45699</v>
      </c>
      <c r="C112" t="s">
        <v>37</v>
      </c>
      <c r="D112" t="s">
        <v>10</v>
      </c>
      <c r="E112" t="s">
        <v>15</v>
      </c>
      <c r="F112" t="s">
        <v>31</v>
      </c>
      <c r="G112" t="s">
        <v>33</v>
      </c>
      <c r="H112">
        <v>3614</v>
      </c>
      <c r="I112">
        <v>3028</v>
      </c>
    </row>
    <row r="113" spans="1:9" x14ac:dyDescent="0.35">
      <c r="A113">
        <v>112</v>
      </c>
      <c r="B113" s="1">
        <v>45698</v>
      </c>
      <c r="C113" t="s">
        <v>37</v>
      </c>
      <c r="D113" t="s">
        <v>18</v>
      </c>
      <c r="E113" t="s">
        <v>26</v>
      </c>
      <c r="F113" t="s">
        <v>46</v>
      </c>
      <c r="G113" t="s">
        <v>28</v>
      </c>
      <c r="H113">
        <v>27189</v>
      </c>
      <c r="I113">
        <v>23741</v>
      </c>
    </row>
    <row r="114" spans="1:9" x14ac:dyDescent="0.35">
      <c r="A114">
        <v>113</v>
      </c>
      <c r="B114" s="1">
        <v>45673</v>
      </c>
      <c r="C114" t="s">
        <v>17</v>
      </c>
      <c r="D114" t="s">
        <v>10</v>
      </c>
      <c r="E114" t="s">
        <v>15</v>
      </c>
      <c r="F114" t="s">
        <v>70</v>
      </c>
      <c r="G114" t="s">
        <v>23</v>
      </c>
      <c r="H114">
        <v>10537</v>
      </c>
      <c r="I114">
        <v>8770</v>
      </c>
    </row>
    <row r="115" spans="1:9" x14ac:dyDescent="0.35">
      <c r="A115">
        <v>114</v>
      </c>
      <c r="B115" s="1">
        <v>45673</v>
      </c>
      <c r="C115" t="s">
        <v>9</v>
      </c>
      <c r="D115" t="s">
        <v>18</v>
      </c>
      <c r="E115" t="s">
        <v>26</v>
      </c>
      <c r="F115" t="s">
        <v>68</v>
      </c>
      <c r="G115" t="s">
        <v>13</v>
      </c>
      <c r="H115">
        <v>7848</v>
      </c>
      <c r="I115">
        <v>4969</v>
      </c>
    </row>
    <row r="116" spans="1:9" x14ac:dyDescent="0.35">
      <c r="A116">
        <v>115</v>
      </c>
      <c r="B116" s="1">
        <v>45697</v>
      </c>
      <c r="C116" t="s">
        <v>17</v>
      </c>
      <c r="D116" t="s">
        <v>10</v>
      </c>
      <c r="E116" t="s">
        <v>15</v>
      </c>
      <c r="F116" t="s">
        <v>34</v>
      </c>
      <c r="G116" t="s">
        <v>28</v>
      </c>
      <c r="H116">
        <v>27755</v>
      </c>
      <c r="I116">
        <v>22304</v>
      </c>
    </row>
    <row r="117" spans="1:9" x14ac:dyDescent="0.35">
      <c r="A117">
        <v>116</v>
      </c>
      <c r="B117" s="1">
        <v>45663</v>
      </c>
      <c r="C117" t="s">
        <v>37</v>
      </c>
      <c r="D117" t="s">
        <v>18</v>
      </c>
      <c r="E117" t="s">
        <v>26</v>
      </c>
      <c r="F117" t="s">
        <v>53</v>
      </c>
      <c r="G117" t="s">
        <v>35</v>
      </c>
      <c r="H117">
        <v>4181</v>
      </c>
      <c r="I117">
        <v>2556</v>
      </c>
    </row>
    <row r="118" spans="1:9" x14ac:dyDescent="0.35">
      <c r="A118">
        <v>117</v>
      </c>
      <c r="B118" s="1">
        <v>45695</v>
      </c>
      <c r="C118" t="s">
        <v>9</v>
      </c>
      <c r="D118" t="s">
        <v>10</v>
      </c>
      <c r="E118" t="s">
        <v>21</v>
      </c>
      <c r="F118" t="s">
        <v>31</v>
      </c>
      <c r="G118" t="s">
        <v>28</v>
      </c>
      <c r="H118">
        <v>8389</v>
      </c>
      <c r="I118">
        <v>6532</v>
      </c>
    </row>
    <row r="119" spans="1:9" x14ac:dyDescent="0.35">
      <c r="A119">
        <v>118</v>
      </c>
      <c r="B119" s="1">
        <v>45711</v>
      </c>
      <c r="C119" t="s">
        <v>14</v>
      </c>
      <c r="D119" t="s">
        <v>10</v>
      </c>
      <c r="E119" t="s">
        <v>21</v>
      </c>
      <c r="F119" t="s">
        <v>24</v>
      </c>
      <c r="G119" t="s">
        <v>23</v>
      </c>
      <c r="H119">
        <v>5296</v>
      </c>
      <c r="I119">
        <v>4380</v>
      </c>
    </row>
    <row r="120" spans="1:9" x14ac:dyDescent="0.35">
      <c r="A120">
        <v>119</v>
      </c>
      <c r="B120" s="1">
        <v>45681</v>
      </c>
      <c r="C120" t="s">
        <v>14</v>
      </c>
      <c r="D120" t="s">
        <v>18</v>
      </c>
      <c r="E120" t="s">
        <v>19</v>
      </c>
      <c r="F120" t="s">
        <v>60</v>
      </c>
      <c r="G120" t="s">
        <v>13</v>
      </c>
      <c r="H120">
        <v>23944</v>
      </c>
      <c r="I120">
        <v>15560</v>
      </c>
    </row>
    <row r="121" spans="1:9" x14ac:dyDescent="0.35">
      <c r="A121">
        <v>120</v>
      </c>
      <c r="B121" s="1">
        <v>45685</v>
      </c>
      <c r="C121" t="s">
        <v>37</v>
      </c>
      <c r="D121" t="s">
        <v>18</v>
      </c>
      <c r="E121" t="s">
        <v>19</v>
      </c>
      <c r="F121" t="s">
        <v>63</v>
      </c>
      <c r="G121" t="s">
        <v>23</v>
      </c>
      <c r="H121">
        <v>18898</v>
      </c>
      <c r="I121">
        <v>13265</v>
      </c>
    </row>
    <row r="122" spans="1:9" x14ac:dyDescent="0.35">
      <c r="A122">
        <v>121</v>
      </c>
      <c r="B122" s="1">
        <v>45683</v>
      </c>
      <c r="C122" t="s">
        <v>9</v>
      </c>
      <c r="D122" t="s">
        <v>10</v>
      </c>
      <c r="E122" t="s">
        <v>11</v>
      </c>
      <c r="F122" t="s">
        <v>41</v>
      </c>
      <c r="G122" t="s">
        <v>35</v>
      </c>
      <c r="H122">
        <v>13655</v>
      </c>
      <c r="I122">
        <v>11129</v>
      </c>
    </row>
    <row r="123" spans="1:9" x14ac:dyDescent="0.35">
      <c r="A123">
        <v>122</v>
      </c>
      <c r="B123" s="1">
        <v>45697</v>
      </c>
      <c r="C123" t="s">
        <v>37</v>
      </c>
      <c r="D123" t="s">
        <v>18</v>
      </c>
      <c r="E123" t="s">
        <v>19</v>
      </c>
      <c r="F123" t="s">
        <v>12</v>
      </c>
      <c r="G123" t="s">
        <v>35</v>
      </c>
      <c r="H123">
        <v>27432</v>
      </c>
      <c r="I123">
        <v>21904</v>
      </c>
    </row>
    <row r="124" spans="1:9" x14ac:dyDescent="0.35">
      <c r="A124">
        <v>123</v>
      </c>
      <c r="B124" s="1">
        <v>45702</v>
      </c>
      <c r="C124" t="s">
        <v>14</v>
      </c>
      <c r="D124" t="s">
        <v>18</v>
      </c>
      <c r="E124" t="s">
        <v>32</v>
      </c>
      <c r="F124" t="s">
        <v>41</v>
      </c>
      <c r="G124" t="s">
        <v>23</v>
      </c>
      <c r="H124">
        <v>22740</v>
      </c>
      <c r="I124">
        <v>15119</v>
      </c>
    </row>
    <row r="125" spans="1:9" x14ac:dyDescent="0.35">
      <c r="A125">
        <v>124</v>
      </c>
      <c r="B125" s="1">
        <v>45710</v>
      </c>
      <c r="C125" t="s">
        <v>9</v>
      </c>
      <c r="D125" t="s">
        <v>10</v>
      </c>
      <c r="E125" t="s">
        <v>21</v>
      </c>
      <c r="F125" t="s">
        <v>61</v>
      </c>
      <c r="G125" t="s">
        <v>28</v>
      </c>
      <c r="H125">
        <v>20494</v>
      </c>
      <c r="I125">
        <v>13939</v>
      </c>
    </row>
    <row r="126" spans="1:9" x14ac:dyDescent="0.35">
      <c r="A126">
        <v>125</v>
      </c>
      <c r="B126" s="1">
        <v>45697</v>
      </c>
      <c r="C126" t="s">
        <v>17</v>
      </c>
      <c r="D126" t="s">
        <v>10</v>
      </c>
      <c r="E126" t="s">
        <v>21</v>
      </c>
      <c r="F126" t="s">
        <v>40</v>
      </c>
      <c r="G126" t="s">
        <v>35</v>
      </c>
      <c r="H126">
        <v>4689</v>
      </c>
      <c r="I126">
        <v>3659</v>
      </c>
    </row>
    <row r="127" spans="1:9" x14ac:dyDescent="0.35">
      <c r="A127">
        <v>126</v>
      </c>
      <c r="B127" s="1">
        <v>45693</v>
      </c>
      <c r="C127" t="s">
        <v>37</v>
      </c>
      <c r="D127" t="s">
        <v>10</v>
      </c>
      <c r="E127" t="s">
        <v>21</v>
      </c>
      <c r="F127" t="s">
        <v>55</v>
      </c>
      <c r="G127" t="s">
        <v>35</v>
      </c>
      <c r="H127">
        <v>7805</v>
      </c>
      <c r="I127">
        <v>6809</v>
      </c>
    </row>
    <row r="128" spans="1:9" x14ac:dyDescent="0.35">
      <c r="A128">
        <v>127</v>
      </c>
      <c r="B128" s="1">
        <v>45696</v>
      </c>
      <c r="C128" t="s">
        <v>14</v>
      </c>
      <c r="D128" t="s">
        <v>10</v>
      </c>
      <c r="E128" t="s">
        <v>15</v>
      </c>
      <c r="F128" t="s">
        <v>39</v>
      </c>
      <c r="G128" t="s">
        <v>28</v>
      </c>
      <c r="H128">
        <v>29035</v>
      </c>
      <c r="I128">
        <v>18117</v>
      </c>
    </row>
    <row r="129" spans="1:9" x14ac:dyDescent="0.35">
      <c r="A129">
        <v>128</v>
      </c>
      <c r="B129" s="1">
        <v>45704</v>
      </c>
      <c r="C129" t="s">
        <v>17</v>
      </c>
      <c r="D129" t="s">
        <v>10</v>
      </c>
      <c r="E129" t="s">
        <v>42</v>
      </c>
      <c r="F129" t="s">
        <v>20</v>
      </c>
      <c r="G129" t="s">
        <v>33</v>
      </c>
      <c r="H129">
        <v>28977</v>
      </c>
      <c r="I129">
        <v>20727</v>
      </c>
    </row>
    <row r="130" spans="1:9" x14ac:dyDescent="0.35">
      <c r="A130">
        <v>129</v>
      </c>
      <c r="B130" s="1">
        <v>45700</v>
      </c>
      <c r="C130" t="s">
        <v>14</v>
      </c>
      <c r="D130" t="s">
        <v>18</v>
      </c>
      <c r="E130" t="s">
        <v>32</v>
      </c>
      <c r="F130" t="s">
        <v>53</v>
      </c>
      <c r="G130" t="s">
        <v>23</v>
      </c>
      <c r="H130">
        <v>22701</v>
      </c>
      <c r="I130">
        <v>17830</v>
      </c>
    </row>
    <row r="131" spans="1:9" x14ac:dyDescent="0.35">
      <c r="A131">
        <v>130</v>
      </c>
      <c r="B131" s="1">
        <v>45659</v>
      </c>
      <c r="C131" t="s">
        <v>9</v>
      </c>
      <c r="D131" t="s">
        <v>10</v>
      </c>
      <c r="E131" t="s">
        <v>21</v>
      </c>
      <c r="F131" t="s">
        <v>20</v>
      </c>
      <c r="G131" t="s">
        <v>23</v>
      </c>
      <c r="H131">
        <v>19348</v>
      </c>
      <c r="I131">
        <v>12365</v>
      </c>
    </row>
    <row r="132" spans="1:9" x14ac:dyDescent="0.35">
      <c r="A132">
        <v>131</v>
      </c>
      <c r="B132" s="1">
        <v>45689</v>
      </c>
      <c r="C132" t="s">
        <v>14</v>
      </c>
      <c r="D132" t="s">
        <v>10</v>
      </c>
      <c r="E132" t="s">
        <v>42</v>
      </c>
      <c r="F132" t="s">
        <v>60</v>
      </c>
      <c r="G132" t="s">
        <v>13</v>
      </c>
      <c r="H132">
        <v>17249</v>
      </c>
      <c r="I132">
        <v>15437</v>
      </c>
    </row>
    <row r="133" spans="1:9" x14ac:dyDescent="0.35">
      <c r="A133">
        <v>132</v>
      </c>
      <c r="B133" s="1">
        <v>45699</v>
      </c>
      <c r="C133" t="s">
        <v>17</v>
      </c>
      <c r="D133" t="s">
        <v>10</v>
      </c>
      <c r="E133" t="s">
        <v>21</v>
      </c>
      <c r="F133" t="s">
        <v>49</v>
      </c>
      <c r="G133" t="s">
        <v>13</v>
      </c>
      <c r="H133">
        <v>11825</v>
      </c>
      <c r="I133">
        <v>10476</v>
      </c>
    </row>
    <row r="134" spans="1:9" x14ac:dyDescent="0.35">
      <c r="A134">
        <v>133</v>
      </c>
      <c r="B134" s="1">
        <v>45663</v>
      </c>
      <c r="C134" t="s">
        <v>37</v>
      </c>
      <c r="D134" t="s">
        <v>18</v>
      </c>
      <c r="E134" t="s">
        <v>26</v>
      </c>
      <c r="F134" t="s">
        <v>45</v>
      </c>
      <c r="G134" t="s">
        <v>28</v>
      </c>
      <c r="H134">
        <v>17610</v>
      </c>
      <c r="I134">
        <v>12853</v>
      </c>
    </row>
    <row r="135" spans="1:9" x14ac:dyDescent="0.35">
      <c r="A135">
        <v>134</v>
      </c>
      <c r="B135" s="1">
        <v>45666</v>
      </c>
      <c r="C135" t="s">
        <v>9</v>
      </c>
      <c r="D135" t="s">
        <v>10</v>
      </c>
      <c r="E135" t="s">
        <v>15</v>
      </c>
      <c r="F135" t="s">
        <v>67</v>
      </c>
      <c r="G135" t="s">
        <v>33</v>
      </c>
      <c r="H135">
        <v>13456</v>
      </c>
      <c r="I135">
        <v>8137</v>
      </c>
    </row>
    <row r="136" spans="1:9" x14ac:dyDescent="0.35">
      <c r="A136">
        <v>135</v>
      </c>
      <c r="B136" s="1">
        <v>45689</v>
      </c>
      <c r="C136" t="s">
        <v>9</v>
      </c>
      <c r="D136" t="s">
        <v>10</v>
      </c>
      <c r="E136" t="s">
        <v>21</v>
      </c>
      <c r="F136" t="s">
        <v>50</v>
      </c>
      <c r="G136" t="s">
        <v>23</v>
      </c>
      <c r="H136">
        <v>21343</v>
      </c>
      <c r="I136">
        <v>13101</v>
      </c>
    </row>
    <row r="137" spans="1:9" x14ac:dyDescent="0.35">
      <c r="A137">
        <v>136</v>
      </c>
      <c r="B137" s="1">
        <v>45669</v>
      </c>
      <c r="C137" t="s">
        <v>17</v>
      </c>
      <c r="D137" t="s">
        <v>10</v>
      </c>
      <c r="E137" t="s">
        <v>21</v>
      </c>
      <c r="F137" t="s">
        <v>66</v>
      </c>
      <c r="G137" t="s">
        <v>33</v>
      </c>
      <c r="H137">
        <v>16315</v>
      </c>
      <c r="I137">
        <v>14531</v>
      </c>
    </row>
    <row r="138" spans="1:9" x14ac:dyDescent="0.35">
      <c r="A138">
        <v>137</v>
      </c>
      <c r="B138" s="1">
        <v>45677</v>
      </c>
      <c r="C138" t="s">
        <v>14</v>
      </c>
      <c r="D138" t="s">
        <v>18</v>
      </c>
      <c r="E138" t="s">
        <v>26</v>
      </c>
      <c r="F138" t="s">
        <v>61</v>
      </c>
      <c r="G138" t="s">
        <v>28</v>
      </c>
      <c r="H138">
        <v>21957</v>
      </c>
      <c r="I138">
        <v>13992</v>
      </c>
    </row>
    <row r="139" spans="1:9" x14ac:dyDescent="0.35">
      <c r="A139">
        <v>138</v>
      </c>
      <c r="B139" s="1">
        <v>45695</v>
      </c>
      <c r="C139" t="s">
        <v>17</v>
      </c>
      <c r="D139" t="s">
        <v>10</v>
      </c>
      <c r="E139" t="s">
        <v>42</v>
      </c>
      <c r="F139" t="s">
        <v>38</v>
      </c>
      <c r="G139" t="s">
        <v>28</v>
      </c>
      <c r="H139">
        <v>7509</v>
      </c>
      <c r="I139">
        <v>5216</v>
      </c>
    </row>
    <row r="140" spans="1:9" x14ac:dyDescent="0.35">
      <c r="A140">
        <v>139</v>
      </c>
      <c r="B140" s="1">
        <v>45671</v>
      </c>
      <c r="C140" t="s">
        <v>9</v>
      </c>
      <c r="D140" t="s">
        <v>10</v>
      </c>
      <c r="E140" t="s">
        <v>11</v>
      </c>
      <c r="F140" t="s">
        <v>72</v>
      </c>
      <c r="G140" t="s">
        <v>35</v>
      </c>
      <c r="H140">
        <v>28336</v>
      </c>
      <c r="I140">
        <v>17187</v>
      </c>
    </row>
    <row r="141" spans="1:9" x14ac:dyDescent="0.35">
      <c r="A141">
        <v>140</v>
      </c>
      <c r="B141" s="1">
        <v>45697</v>
      </c>
      <c r="C141" t="s">
        <v>14</v>
      </c>
      <c r="D141" t="s">
        <v>10</v>
      </c>
      <c r="E141" t="s">
        <v>42</v>
      </c>
      <c r="F141" t="s">
        <v>73</v>
      </c>
      <c r="G141" t="s">
        <v>28</v>
      </c>
      <c r="H141">
        <v>7967</v>
      </c>
      <c r="I141">
        <v>6547</v>
      </c>
    </row>
    <row r="142" spans="1:9" x14ac:dyDescent="0.35">
      <c r="A142">
        <v>141</v>
      </c>
      <c r="B142" s="1">
        <v>45714</v>
      </c>
      <c r="C142" t="s">
        <v>9</v>
      </c>
      <c r="D142" t="s">
        <v>18</v>
      </c>
      <c r="E142" t="s">
        <v>32</v>
      </c>
      <c r="F142" t="s">
        <v>30</v>
      </c>
      <c r="G142" t="s">
        <v>33</v>
      </c>
      <c r="H142">
        <v>9266</v>
      </c>
      <c r="I142">
        <v>7251</v>
      </c>
    </row>
    <row r="143" spans="1:9" x14ac:dyDescent="0.35">
      <c r="A143">
        <v>142</v>
      </c>
      <c r="B143" s="1">
        <v>45658</v>
      </c>
      <c r="C143" t="s">
        <v>17</v>
      </c>
      <c r="D143" t="s">
        <v>18</v>
      </c>
      <c r="E143" t="s">
        <v>26</v>
      </c>
      <c r="F143" t="s">
        <v>43</v>
      </c>
      <c r="G143" t="s">
        <v>28</v>
      </c>
      <c r="H143">
        <v>18541</v>
      </c>
      <c r="I143">
        <v>12433</v>
      </c>
    </row>
    <row r="144" spans="1:9" x14ac:dyDescent="0.35">
      <c r="A144">
        <v>143</v>
      </c>
      <c r="B144" s="1">
        <v>45700</v>
      </c>
      <c r="C144" t="s">
        <v>9</v>
      </c>
      <c r="D144" t="s">
        <v>18</v>
      </c>
      <c r="E144" t="s">
        <v>32</v>
      </c>
      <c r="F144" t="s">
        <v>74</v>
      </c>
      <c r="G144" t="s">
        <v>23</v>
      </c>
      <c r="H144">
        <v>12290</v>
      </c>
      <c r="I144">
        <v>8375</v>
      </c>
    </row>
    <row r="145" spans="1:9" x14ac:dyDescent="0.35">
      <c r="A145">
        <v>144</v>
      </c>
      <c r="B145" s="1">
        <v>45666</v>
      </c>
      <c r="C145" t="s">
        <v>14</v>
      </c>
      <c r="D145" t="s">
        <v>10</v>
      </c>
      <c r="E145" t="s">
        <v>15</v>
      </c>
      <c r="F145" t="s">
        <v>57</v>
      </c>
      <c r="G145" t="s">
        <v>23</v>
      </c>
      <c r="H145">
        <v>29811</v>
      </c>
      <c r="I145">
        <v>23913</v>
      </c>
    </row>
    <row r="146" spans="1:9" x14ac:dyDescent="0.35">
      <c r="A146">
        <v>145</v>
      </c>
      <c r="B146" s="1">
        <v>45678</v>
      </c>
      <c r="C146" t="s">
        <v>17</v>
      </c>
      <c r="D146" t="s">
        <v>18</v>
      </c>
      <c r="E146" t="s">
        <v>32</v>
      </c>
      <c r="F146" t="s">
        <v>50</v>
      </c>
      <c r="G146" t="s">
        <v>33</v>
      </c>
      <c r="H146">
        <v>3743</v>
      </c>
      <c r="I146">
        <v>2347</v>
      </c>
    </row>
    <row r="147" spans="1:9" x14ac:dyDescent="0.35">
      <c r="A147">
        <v>146</v>
      </c>
      <c r="B147" s="1">
        <v>45691</v>
      </c>
      <c r="C147" t="s">
        <v>14</v>
      </c>
      <c r="D147" t="s">
        <v>10</v>
      </c>
      <c r="E147" t="s">
        <v>11</v>
      </c>
      <c r="F147" t="s">
        <v>75</v>
      </c>
      <c r="G147" t="s">
        <v>33</v>
      </c>
      <c r="H147">
        <v>12655</v>
      </c>
      <c r="I147">
        <v>10478</v>
      </c>
    </row>
    <row r="148" spans="1:9" x14ac:dyDescent="0.35">
      <c r="A148">
        <v>147</v>
      </c>
      <c r="B148" s="1">
        <v>45665</v>
      </c>
      <c r="C148" t="s">
        <v>9</v>
      </c>
      <c r="D148" t="s">
        <v>18</v>
      </c>
      <c r="E148" t="s">
        <v>26</v>
      </c>
      <c r="F148" t="s">
        <v>53</v>
      </c>
      <c r="G148" t="s">
        <v>23</v>
      </c>
      <c r="H148">
        <v>19492</v>
      </c>
      <c r="I148">
        <v>15052</v>
      </c>
    </row>
    <row r="149" spans="1:9" x14ac:dyDescent="0.35">
      <c r="A149">
        <v>148</v>
      </c>
      <c r="B149" s="1">
        <v>45686</v>
      </c>
      <c r="C149" t="s">
        <v>9</v>
      </c>
      <c r="D149" t="s">
        <v>18</v>
      </c>
      <c r="E149" t="s">
        <v>19</v>
      </c>
      <c r="F149" t="s">
        <v>76</v>
      </c>
      <c r="G149" t="s">
        <v>23</v>
      </c>
      <c r="H149">
        <v>23823</v>
      </c>
      <c r="I149">
        <v>15138</v>
      </c>
    </row>
    <row r="150" spans="1:9" x14ac:dyDescent="0.35">
      <c r="A150">
        <v>149</v>
      </c>
      <c r="B150" s="1">
        <v>45663</v>
      </c>
      <c r="C150" t="s">
        <v>37</v>
      </c>
      <c r="D150" t="s">
        <v>18</v>
      </c>
      <c r="E150" t="s">
        <v>32</v>
      </c>
      <c r="F150" t="s">
        <v>65</v>
      </c>
      <c r="G150" t="s">
        <v>13</v>
      </c>
      <c r="H150">
        <v>12233</v>
      </c>
      <c r="I150">
        <v>8248</v>
      </c>
    </row>
    <row r="151" spans="1:9" x14ac:dyDescent="0.35">
      <c r="A151">
        <v>150</v>
      </c>
      <c r="B151" s="1">
        <v>45699</v>
      </c>
      <c r="C151" t="s">
        <v>17</v>
      </c>
      <c r="D151" t="s">
        <v>10</v>
      </c>
      <c r="E151" t="s">
        <v>42</v>
      </c>
      <c r="F151" t="s">
        <v>58</v>
      </c>
      <c r="G151" t="s">
        <v>28</v>
      </c>
      <c r="H151">
        <v>3003</v>
      </c>
      <c r="I151">
        <v>2190</v>
      </c>
    </row>
    <row r="152" spans="1:9" x14ac:dyDescent="0.35">
      <c r="A152">
        <v>151</v>
      </c>
      <c r="B152" s="1">
        <v>45680</v>
      </c>
      <c r="C152" t="s">
        <v>37</v>
      </c>
      <c r="D152" t="s">
        <v>18</v>
      </c>
      <c r="E152" t="s">
        <v>26</v>
      </c>
      <c r="F152" t="s">
        <v>44</v>
      </c>
      <c r="G152" t="s">
        <v>13</v>
      </c>
      <c r="H152">
        <v>21525</v>
      </c>
      <c r="I152">
        <v>15170</v>
      </c>
    </row>
    <row r="153" spans="1:9" x14ac:dyDescent="0.35">
      <c r="A153">
        <v>152</v>
      </c>
      <c r="B153" s="1">
        <v>45685</v>
      </c>
      <c r="C153" t="s">
        <v>9</v>
      </c>
      <c r="D153" t="s">
        <v>10</v>
      </c>
      <c r="E153" t="s">
        <v>11</v>
      </c>
      <c r="F153" t="s">
        <v>12</v>
      </c>
      <c r="G153" t="s">
        <v>35</v>
      </c>
      <c r="H153">
        <v>21312</v>
      </c>
      <c r="I153">
        <v>18369</v>
      </c>
    </row>
    <row r="154" spans="1:9" x14ac:dyDescent="0.35">
      <c r="A154">
        <v>153</v>
      </c>
      <c r="B154" s="1">
        <v>45663</v>
      </c>
      <c r="C154" t="s">
        <v>9</v>
      </c>
      <c r="D154" t="s">
        <v>18</v>
      </c>
      <c r="E154" t="s">
        <v>29</v>
      </c>
      <c r="F154" t="s">
        <v>75</v>
      </c>
      <c r="G154" t="s">
        <v>35</v>
      </c>
      <c r="H154">
        <v>8413</v>
      </c>
      <c r="I154">
        <v>6580</v>
      </c>
    </row>
    <row r="155" spans="1:9" x14ac:dyDescent="0.35">
      <c r="A155">
        <v>154</v>
      </c>
      <c r="B155" s="1">
        <v>45662</v>
      </c>
      <c r="C155" t="s">
        <v>17</v>
      </c>
      <c r="D155" t="s">
        <v>10</v>
      </c>
      <c r="E155" t="s">
        <v>21</v>
      </c>
      <c r="F155" t="s">
        <v>20</v>
      </c>
      <c r="G155" t="s">
        <v>33</v>
      </c>
      <c r="H155">
        <v>4693</v>
      </c>
      <c r="I155">
        <v>3566</v>
      </c>
    </row>
    <row r="156" spans="1:9" x14ac:dyDescent="0.35">
      <c r="A156">
        <v>155</v>
      </c>
      <c r="B156" s="1">
        <v>45677</v>
      </c>
      <c r="C156" t="s">
        <v>9</v>
      </c>
      <c r="D156" t="s">
        <v>18</v>
      </c>
      <c r="E156" t="s">
        <v>32</v>
      </c>
      <c r="F156" t="s">
        <v>24</v>
      </c>
      <c r="G156" t="s">
        <v>35</v>
      </c>
      <c r="H156">
        <v>24941</v>
      </c>
      <c r="I156">
        <v>19960</v>
      </c>
    </row>
    <row r="157" spans="1:9" x14ac:dyDescent="0.35">
      <c r="A157">
        <v>156</v>
      </c>
      <c r="B157" s="1">
        <v>45713</v>
      </c>
      <c r="C157" t="s">
        <v>9</v>
      </c>
      <c r="D157" t="s">
        <v>18</v>
      </c>
      <c r="E157" t="s">
        <v>19</v>
      </c>
      <c r="F157" t="s">
        <v>31</v>
      </c>
      <c r="G157" t="s">
        <v>33</v>
      </c>
      <c r="H157">
        <v>22511</v>
      </c>
      <c r="I157">
        <v>16616</v>
      </c>
    </row>
    <row r="158" spans="1:9" x14ac:dyDescent="0.35">
      <c r="A158">
        <v>157</v>
      </c>
      <c r="B158" s="1">
        <v>45672</v>
      </c>
      <c r="C158" t="s">
        <v>17</v>
      </c>
      <c r="D158" t="s">
        <v>10</v>
      </c>
      <c r="E158" t="s">
        <v>42</v>
      </c>
      <c r="F158" t="s">
        <v>38</v>
      </c>
      <c r="G158" t="s">
        <v>35</v>
      </c>
      <c r="H158">
        <v>13946</v>
      </c>
      <c r="I158">
        <v>12354</v>
      </c>
    </row>
    <row r="159" spans="1:9" x14ac:dyDescent="0.35">
      <c r="A159">
        <v>158</v>
      </c>
      <c r="B159" s="1">
        <v>45672</v>
      </c>
      <c r="C159" t="s">
        <v>9</v>
      </c>
      <c r="D159" t="s">
        <v>10</v>
      </c>
      <c r="E159" t="s">
        <v>21</v>
      </c>
      <c r="F159" t="s">
        <v>63</v>
      </c>
      <c r="G159" t="s">
        <v>23</v>
      </c>
      <c r="H159">
        <v>21242</v>
      </c>
      <c r="I159">
        <v>14098</v>
      </c>
    </row>
    <row r="160" spans="1:9" x14ac:dyDescent="0.35">
      <c r="A160">
        <v>159</v>
      </c>
      <c r="B160" s="1">
        <v>45697</v>
      </c>
      <c r="C160" t="s">
        <v>9</v>
      </c>
      <c r="D160" t="s">
        <v>18</v>
      </c>
      <c r="E160" t="s">
        <v>32</v>
      </c>
      <c r="F160" t="s">
        <v>31</v>
      </c>
      <c r="G160" t="s">
        <v>28</v>
      </c>
      <c r="H160">
        <v>22822</v>
      </c>
      <c r="I160">
        <v>18664</v>
      </c>
    </row>
    <row r="161" spans="1:9" x14ac:dyDescent="0.35">
      <c r="A161">
        <v>160</v>
      </c>
      <c r="B161" s="1">
        <v>45679</v>
      </c>
      <c r="C161" t="s">
        <v>14</v>
      </c>
      <c r="D161" t="s">
        <v>10</v>
      </c>
      <c r="E161" t="s">
        <v>11</v>
      </c>
      <c r="F161" t="s">
        <v>64</v>
      </c>
      <c r="G161" t="s">
        <v>23</v>
      </c>
      <c r="H161">
        <v>14825</v>
      </c>
      <c r="I161">
        <v>10070</v>
      </c>
    </row>
    <row r="162" spans="1:9" x14ac:dyDescent="0.35">
      <c r="A162">
        <v>161</v>
      </c>
      <c r="B162" s="1">
        <v>45666</v>
      </c>
      <c r="C162" t="s">
        <v>9</v>
      </c>
      <c r="D162" t="s">
        <v>18</v>
      </c>
      <c r="E162" t="s">
        <v>29</v>
      </c>
      <c r="F162" t="s">
        <v>22</v>
      </c>
      <c r="G162" t="s">
        <v>28</v>
      </c>
      <c r="H162">
        <v>10106</v>
      </c>
      <c r="I162">
        <v>9039</v>
      </c>
    </row>
    <row r="163" spans="1:9" x14ac:dyDescent="0.35">
      <c r="A163">
        <v>162</v>
      </c>
      <c r="B163" s="1">
        <v>45666</v>
      </c>
      <c r="C163" t="s">
        <v>17</v>
      </c>
      <c r="D163" t="s">
        <v>18</v>
      </c>
      <c r="E163" t="s">
        <v>29</v>
      </c>
      <c r="F163" t="s">
        <v>30</v>
      </c>
      <c r="G163" t="s">
        <v>33</v>
      </c>
      <c r="H163">
        <v>24181</v>
      </c>
      <c r="I163">
        <v>17254</v>
      </c>
    </row>
    <row r="164" spans="1:9" x14ac:dyDescent="0.35">
      <c r="A164">
        <v>163</v>
      </c>
      <c r="B164" s="1">
        <v>45691</v>
      </c>
      <c r="C164" t="s">
        <v>37</v>
      </c>
      <c r="D164" t="s">
        <v>10</v>
      </c>
      <c r="E164" t="s">
        <v>11</v>
      </c>
      <c r="F164" t="s">
        <v>73</v>
      </c>
      <c r="G164" t="s">
        <v>23</v>
      </c>
      <c r="H164">
        <v>8789</v>
      </c>
      <c r="I164">
        <v>6768</v>
      </c>
    </row>
    <row r="165" spans="1:9" x14ac:dyDescent="0.35">
      <c r="A165">
        <v>164</v>
      </c>
      <c r="B165" s="1">
        <v>45658</v>
      </c>
      <c r="C165" t="s">
        <v>17</v>
      </c>
      <c r="D165" t="s">
        <v>10</v>
      </c>
      <c r="E165" t="s">
        <v>42</v>
      </c>
      <c r="F165" t="s">
        <v>56</v>
      </c>
      <c r="G165" t="s">
        <v>23</v>
      </c>
      <c r="H165">
        <v>17609</v>
      </c>
      <c r="I165">
        <v>13022</v>
      </c>
    </row>
    <row r="166" spans="1:9" x14ac:dyDescent="0.35">
      <c r="A166">
        <v>165</v>
      </c>
      <c r="B166" s="1">
        <v>45712</v>
      </c>
      <c r="C166" t="s">
        <v>9</v>
      </c>
      <c r="D166" t="s">
        <v>10</v>
      </c>
      <c r="E166" t="s">
        <v>42</v>
      </c>
      <c r="F166" t="s">
        <v>72</v>
      </c>
      <c r="G166" t="s">
        <v>23</v>
      </c>
      <c r="H166">
        <v>12827</v>
      </c>
      <c r="I166">
        <v>10421</v>
      </c>
    </row>
    <row r="167" spans="1:9" x14ac:dyDescent="0.35">
      <c r="A167">
        <v>166</v>
      </c>
      <c r="B167" s="1">
        <v>45658</v>
      </c>
      <c r="C167" t="s">
        <v>37</v>
      </c>
      <c r="D167" t="s">
        <v>10</v>
      </c>
      <c r="E167" t="s">
        <v>11</v>
      </c>
      <c r="F167" t="s">
        <v>41</v>
      </c>
      <c r="G167" t="s">
        <v>13</v>
      </c>
      <c r="H167">
        <v>7741</v>
      </c>
      <c r="I167">
        <v>6783</v>
      </c>
    </row>
    <row r="168" spans="1:9" x14ac:dyDescent="0.35">
      <c r="A168">
        <v>167</v>
      </c>
      <c r="B168" s="1">
        <v>45662</v>
      </c>
      <c r="C168" t="s">
        <v>37</v>
      </c>
      <c r="D168" t="s">
        <v>18</v>
      </c>
      <c r="E168" t="s">
        <v>29</v>
      </c>
      <c r="F168" t="s">
        <v>45</v>
      </c>
      <c r="G168" t="s">
        <v>23</v>
      </c>
      <c r="H168">
        <v>27959</v>
      </c>
      <c r="I168">
        <v>23794</v>
      </c>
    </row>
    <row r="169" spans="1:9" x14ac:dyDescent="0.35">
      <c r="A169">
        <v>168</v>
      </c>
      <c r="B169" s="1">
        <v>45701</v>
      </c>
      <c r="C169" t="s">
        <v>9</v>
      </c>
      <c r="D169" t="s">
        <v>10</v>
      </c>
      <c r="E169" t="s">
        <v>15</v>
      </c>
      <c r="F169" t="s">
        <v>73</v>
      </c>
      <c r="G169" t="s">
        <v>13</v>
      </c>
      <c r="H169">
        <v>9260</v>
      </c>
      <c r="I169">
        <v>8117</v>
      </c>
    </row>
    <row r="170" spans="1:9" x14ac:dyDescent="0.35">
      <c r="A170">
        <v>169</v>
      </c>
      <c r="B170" s="1">
        <v>45701</v>
      </c>
      <c r="C170" t="s">
        <v>37</v>
      </c>
      <c r="D170" t="s">
        <v>18</v>
      </c>
      <c r="E170" t="s">
        <v>32</v>
      </c>
      <c r="F170" t="s">
        <v>59</v>
      </c>
      <c r="G170" t="s">
        <v>13</v>
      </c>
      <c r="H170">
        <v>23426</v>
      </c>
      <c r="I170">
        <v>18470</v>
      </c>
    </row>
    <row r="171" spans="1:9" x14ac:dyDescent="0.35">
      <c r="A171">
        <v>170</v>
      </c>
      <c r="B171" s="1">
        <v>45707</v>
      </c>
      <c r="C171" t="s">
        <v>17</v>
      </c>
      <c r="D171" t="s">
        <v>10</v>
      </c>
      <c r="E171" t="s">
        <v>11</v>
      </c>
      <c r="F171" t="s">
        <v>69</v>
      </c>
      <c r="G171" t="s">
        <v>28</v>
      </c>
      <c r="H171">
        <v>9672</v>
      </c>
      <c r="I171">
        <v>7495</v>
      </c>
    </row>
    <row r="172" spans="1:9" x14ac:dyDescent="0.35">
      <c r="A172">
        <v>171</v>
      </c>
      <c r="B172" s="1">
        <v>45671</v>
      </c>
      <c r="C172" t="s">
        <v>14</v>
      </c>
      <c r="D172" t="s">
        <v>10</v>
      </c>
      <c r="E172" t="s">
        <v>42</v>
      </c>
      <c r="F172" t="s">
        <v>67</v>
      </c>
      <c r="G172" t="s">
        <v>35</v>
      </c>
      <c r="H172">
        <v>15655</v>
      </c>
      <c r="I172">
        <v>12741</v>
      </c>
    </row>
    <row r="173" spans="1:9" x14ac:dyDescent="0.35">
      <c r="A173">
        <v>172</v>
      </c>
      <c r="B173" s="1">
        <v>45694</v>
      </c>
      <c r="C173" t="s">
        <v>14</v>
      </c>
      <c r="D173" t="s">
        <v>10</v>
      </c>
      <c r="E173" t="s">
        <v>21</v>
      </c>
      <c r="F173" t="s">
        <v>30</v>
      </c>
      <c r="G173" t="s">
        <v>33</v>
      </c>
      <c r="H173">
        <v>4896</v>
      </c>
      <c r="I173">
        <v>3209</v>
      </c>
    </row>
    <row r="174" spans="1:9" x14ac:dyDescent="0.35">
      <c r="A174">
        <v>173</v>
      </c>
      <c r="B174" s="1">
        <v>45681</v>
      </c>
      <c r="C174" t="s">
        <v>17</v>
      </c>
      <c r="D174" t="s">
        <v>10</v>
      </c>
      <c r="E174" t="s">
        <v>15</v>
      </c>
      <c r="F174" t="s">
        <v>77</v>
      </c>
      <c r="G174" t="s">
        <v>13</v>
      </c>
      <c r="H174">
        <v>26624</v>
      </c>
      <c r="I174">
        <v>22645</v>
      </c>
    </row>
    <row r="175" spans="1:9" x14ac:dyDescent="0.35">
      <c r="A175">
        <v>174</v>
      </c>
      <c r="B175" s="1">
        <v>45663</v>
      </c>
      <c r="C175" t="s">
        <v>9</v>
      </c>
      <c r="D175" t="s">
        <v>10</v>
      </c>
      <c r="E175" t="s">
        <v>11</v>
      </c>
      <c r="F175" t="s">
        <v>50</v>
      </c>
      <c r="G175" t="s">
        <v>28</v>
      </c>
      <c r="H175">
        <v>12390</v>
      </c>
      <c r="I175">
        <v>7893</v>
      </c>
    </row>
    <row r="176" spans="1:9" x14ac:dyDescent="0.35">
      <c r="A176">
        <v>175</v>
      </c>
      <c r="B176" s="1">
        <v>45666</v>
      </c>
      <c r="C176" t="s">
        <v>37</v>
      </c>
      <c r="D176" t="s">
        <v>18</v>
      </c>
      <c r="E176" t="s">
        <v>32</v>
      </c>
      <c r="F176" t="s">
        <v>41</v>
      </c>
      <c r="G176" t="s">
        <v>23</v>
      </c>
      <c r="H176">
        <v>16540</v>
      </c>
      <c r="I176">
        <v>13760</v>
      </c>
    </row>
    <row r="177" spans="1:9" x14ac:dyDescent="0.35">
      <c r="A177">
        <v>176</v>
      </c>
      <c r="B177" s="1">
        <v>45663</v>
      </c>
      <c r="C177" t="s">
        <v>9</v>
      </c>
      <c r="D177" t="s">
        <v>10</v>
      </c>
      <c r="E177" t="s">
        <v>42</v>
      </c>
      <c r="F177" t="s">
        <v>22</v>
      </c>
      <c r="G177" t="s">
        <v>13</v>
      </c>
      <c r="H177">
        <v>10981</v>
      </c>
      <c r="I177">
        <v>7782</v>
      </c>
    </row>
    <row r="178" spans="1:9" x14ac:dyDescent="0.35">
      <c r="A178">
        <v>177</v>
      </c>
      <c r="B178" s="1">
        <v>45702</v>
      </c>
      <c r="C178" t="s">
        <v>37</v>
      </c>
      <c r="D178" t="s">
        <v>10</v>
      </c>
      <c r="E178" t="s">
        <v>21</v>
      </c>
      <c r="F178" t="s">
        <v>57</v>
      </c>
      <c r="G178" t="s">
        <v>13</v>
      </c>
      <c r="H178">
        <v>11754</v>
      </c>
      <c r="I178">
        <v>8066</v>
      </c>
    </row>
    <row r="179" spans="1:9" x14ac:dyDescent="0.35">
      <c r="A179">
        <v>178</v>
      </c>
      <c r="B179" s="1">
        <v>45704</v>
      </c>
      <c r="C179" t="s">
        <v>37</v>
      </c>
      <c r="D179" t="s">
        <v>10</v>
      </c>
      <c r="E179" t="s">
        <v>21</v>
      </c>
      <c r="F179" t="s">
        <v>30</v>
      </c>
      <c r="G179" t="s">
        <v>28</v>
      </c>
      <c r="H179">
        <v>19787</v>
      </c>
      <c r="I179">
        <v>16448</v>
      </c>
    </row>
    <row r="180" spans="1:9" x14ac:dyDescent="0.35">
      <c r="A180">
        <v>179</v>
      </c>
      <c r="B180" s="1">
        <v>45662</v>
      </c>
      <c r="C180" t="s">
        <v>14</v>
      </c>
      <c r="D180" t="s">
        <v>10</v>
      </c>
      <c r="E180" t="s">
        <v>42</v>
      </c>
      <c r="F180" t="s">
        <v>38</v>
      </c>
      <c r="G180" t="s">
        <v>28</v>
      </c>
      <c r="H180">
        <v>7183</v>
      </c>
      <c r="I180">
        <v>6189</v>
      </c>
    </row>
    <row r="181" spans="1:9" x14ac:dyDescent="0.35">
      <c r="A181">
        <v>180</v>
      </c>
      <c r="B181" s="1">
        <v>45701</v>
      </c>
      <c r="C181" t="s">
        <v>14</v>
      </c>
      <c r="D181" t="s">
        <v>10</v>
      </c>
      <c r="E181" t="s">
        <v>15</v>
      </c>
      <c r="F181" t="s">
        <v>59</v>
      </c>
      <c r="G181" t="s">
        <v>35</v>
      </c>
      <c r="H181">
        <v>9341</v>
      </c>
      <c r="I181">
        <v>8029</v>
      </c>
    </row>
    <row r="182" spans="1:9" x14ac:dyDescent="0.35">
      <c r="A182">
        <v>181</v>
      </c>
      <c r="B182" s="1">
        <v>45671</v>
      </c>
      <c r="C182" t="s">
        <v>17</v>
      </c>
      <c r="D182" t="s">
        <v>10</v>
      </c>
      <c r="E182" t="s">
        <v>21</v>
      </c>
      <c r="F182" t="s">
        <v>71</v>
      </c>
      <c r="G182" t="s">
        <v>28</v>
      </c>
      <c r="H182">
        <v>17968</v>
      </c>
      <c r="I182">
        <v>13010</v>
      </c>
    </row>
    <row r="183" spans="1:9" x14ac:dyDescent="0.35">
      <c r="A183">
        <v>182</v>
      </c>
      <c r="B183" s="1">
        <v>45680</v>
      </c>
      <c r="C183" t="s">
        <v>37</v>
      </c>
      <c r="D183" t="s">
        <v>18</v>
      </c>
      <c r="E183" t="s">
        <v>26</v>
      </c>
      <c r="F183" t="s">
        <v>71</v>
      </c>
      <c r="G183" t="s">
        <v>13</v>
      </c>
      <c r="H183">
        <v>13825</v>
      </c>
      <c r="I183">
        <v>8726</v>
      </c>
    </row>
    <row r="184" spans="1:9" x14ac:dyDescent="0.35">
      <c r="A184">
        <v>183</v>
      </c>
      <c r="B184" s="1">
        <v>45669</v>
      </c>
      <c r="C184" t="s">
        <v>14</v>
      </c>
      <c r="D184" t="s">
        <v>10</v>
      </c>
      <c r="E184" t="s">
        <v>42</v>
      </c>
      <c r="F184" t="s">
        <v>53</v>
      </c>
      <c r="G184" t="s">
        <v>23</v>
      </c>
      <c r="H184">
        <v>12841</v>
      </c>
      <c r="I184">
        <v>11391</v>
      </c>
    </row>
    <row r="185" spans="1:9" x14ac:dyDescent="0.35">
      <c r="A185">
        <v>184</v>
      </c>
      <c r="B185" s="1">
        <v>45683</v>
      </c>
      <c r="C185" t="s">
        <v>14</v>
      </c>
      <c r="D185" t="s">
        <v>10</v>
      </c>
      <c r="E185" t="s">
        <v>42</v>
      </c>
      <c r="F185" t="s">
        <v>27</v>
      </c>
      <c r="G185" t="s">
        <v>28</v>
      </c>
      <c r="H185">
        <v>15573</v>
      </c>
      <c r="I185">
        <v>9363</v>
      </c>
    </row>
    <row r="186" spans="1:9" x14ac:dyDescent="0.35">
      <c r="A186">
        <v>185</v>
      </c>
      <c r="B186" s="1">
        <v>45705</v>
      </c>
      <c r="C186" t="s">
        <v>17</v>
      </c>
      <c r="D186" t="s">
        <v>18</v>
      </c>
      <c r="E186" t="s">
        <v>29</v>
      </c>
      <c r="F186" t="s">
        <v>36</v>
      </c>
      <c r="G186" t="s">
        <v>23</v>
      </c>
      <c r="H186">
        <v>14137</v>
      </c>
      <c r="I186">
        <v>11432</v>
      </c>
    </row>
    <row r="187" spans="1:9" x14ac:dyDescent="0.35">
      <c r="A187">
        <v>186</v>
      </c>
      <c r="B187" s="1">
        <v>45675</v>
      </c>
      <c r="C187" t="s">
        <v>17</v>
      </c>
      <c r="D187" t="s">
        <v>10</v>
      </c>
      <c r="E187" t="s">
        <v>42</v>
      </c>
      <c r="F187" t="s">
        <v>54</v>
      </c>
      <c r="G187" t="s">
        <v>33</v>
      </c>
      <c r="H187">
        <v>10389</v>
      </c>
      <c r="I187">
        <v>8448</v>
      </c>
    </row>
    <row r="188" spans="1:9" x14ac:dyDescent="0.35">
      <c r="A188">
        <v>187</v>
      </c>
      <c r="B188" s="1">
        <v>45705</v>
      </c>
      <c r="C188" t="s">
        <v>14</v>
      </c>
      <c r="D188" t="s">
        <v>10</v>
      </c>
      <c r="E188" t="s">
        <v>42</v>
      </c>
      <c r="F188" t="s">
        <v>51</v>
      </c>
      <c r="G188" t="s">
        <v>28</v>
      </c>
      <c r="H188">
        <v>17123</v>
      </c>
      <c r="I188">
        <v>12494</v>
      </c>
    </row>
    <row r="189" spans="1:9" x14ac:dyDescent="0.35">
      <c r="A189">
        <v>188</v>
      </c>
      <c r="B189" s="1">
        <v>45717</v>
      </c>
      <c r="C189" t="s">
        <v>37</v>
      </c>
      <c r="D189" t="s">
        <v>18</v>
      </c>
      <c r="E189" t="s">
        <v>19</v>
      </c>
      <c r="F189" t="s">
        <v>57</v>
      </c>
      <c r="G189" t="s">
        <v>23</v>
      </c>
      <c r="H189">
        <v>23457</v>
      </c>
      <c r="I189">
        <v>20867</v>
      </c>
    </row>
    <row r="190" spans="1:9" x14ac:dyDescent="0.35">
      <c r="A190">
        <v>189</v>
      </c>
      <c r="B190" s="1">
        <v>45699</v>
      </c>
      <c r="C190" t="s">
        <v>17</v>
      </c>
      <c r="D190" t="s">
        <v>18</v>
      </c>
      <c r="E190" t="s">
        <v>19</v>
      </c>
      <c r="F190" t="s">
        <v>68</v>
      </c>
      <c r="G190" t="s">
        <v>13</v>
      </c>
      <c r="H190">
        <v>12542</v>
      </c>
      <c r="I190">
        <v>10524</v>
      </c>
    </row>
    <row r="191" spans="1:9" x14ac:dyDescent="0.35">
      <c r="A191">
        <v>190</v>
      </c>
      <c r="B191" s="1">
        <v>45675</v>
      </c>
      <c r="C191" t="s">
        <v>14</v>
      </c>
      <c r="D191" t="s">
        <v>18</v>
      </c>
      <c r="E191" t="s">
        <v>26</v>
      </c>
      <c r="F191" t="s">
        <v>63</v>
      </c>
      <c r="G191" t="s">
        <v>35</v>
      </c>
      <c r="H191">
        <v>11297</v>
      </c>
      <c r="I191">
        <v>9166</v>
      </c>
    </row>
    <row r="192" spans="1:9" x14ac:dyDescent="0.35">
      <c r="A192">
        <v>191</v>
      </c>
      <c r="B192" s="1">
        <v>45662</v>
      </c>
      <c r="C192" t="s">
        <v>9</v>
      </c>
      <c r="D192" t="s">
        <v>18</v>
      </c>
      <c r="E192" t="s">
        <v>26</v>
      </c>
      <c r="F192" t="s">
        <v>71</v>
      </c>
      <c r="G192" t="s">
        <v>33</v>
      </c>
      <c r="H192">
        <v>20988</v>
      </c>
      <c r="I192">
        <v>14469</v>
      </c>
    </row>
    <row r="193" spans="1:9" x14ac:dyDescent="0.35">
      <c r="A193">
        <v>192</v>
      </c>
      <c r="B193" s="1">
        <v>45677</v>
      </c>
      <c r="C193" t="s">
        <v>9</v>
      </c>
      <c r="D193" t="s">
        <v>18</v>
      </c>
      <c r="E193" t="s">
        <v>29</v>
      </c>
      <c r="F193" t="s">
        <v>77</v>
      </c>
      <c r="G193" t="s">
        <v>13</v>
      </c>
      <c r="H193">
        <v>22125</v>
      </c>
      <c r="I193">
        <v>18956</v>
      </c>
    </row>
    <row r="194" spans="1:9" x14ac:dyDescent="0.35">
      <c r="A194">
        <v>193</v>
      </c>
      <c r="B194" s="1">
        <v>45699</v>
      </c>
      <c r="C194" t="s">
        <v>14</v>
      </c>
      <c r="D194" t="s">
        <v>18</v>
      </c>
      <c r="E194" t="s">
        <v>29</v>
      </c>
      <c r="F194" t="s">
        <v>54</v>
      </c>
      <c r="G194" t="s">
        <v>28</v>
      </c>
      <c r="H194">
        <v>24547</v>
      </c>
      <c r="I194">
        <v>22049</v>
      </c>
    </row>
    <row r="195" spans="1:9" x14ac:dyDescent="0.35">
      <c r="A195">
        <v>194</v>
      </c>
      <c r="B195" s="1">
        <v>45664</v>
      </c>
      <c r="C195" t="s">
        <v>9</v>
      </c>
      <c r="D195" t="s">
        <v>18</v>
      </c>
      <c r="E195" t="s">
        <v>29</v>
      </c>
      <c r="F195" t="s">
        <v>44</v>
      </c>
      <c r="G195" t="s">
        <v>33</v>
      </c>
      <c r="H195">
        <v>24450</v>
      </c>
      <c r="I195">
        <v>15331</v>
      </c>
    </row>
    <row r="196" spans="1:9" x14ac:dyDescent="0.35">
      <c r="A196">
        <v>195</v>
      </c>
      <c r="B196" s="1">
        <v>45690</v>
      </c>
      <c r="C196" t="s">
        <v>14</v>
      </c>
      <c r="D196" t="s">
        <v>10</v>
      </c>
      <c r="E196" t="s">
        <v>11</v>
      </c>
      <c r="F196" t="s">
        <v>47</v>
      </c>
      <c r="G196" t="s">
        <v>28</v>
      </c>
      <c r="H196">
        <v>6284</v>
      </c>
      <c r="I196">
        <v>4993</v>
      </c>
    </row>
    <row r="197" spans="1:9" x14ac:dyDescent="0.35">
      <c r="A197">
        <v>196</v>
      </c>
      <c r="B197" s="1">
        <v>45702</v>
      </c>
      <c r="C197" t="s">
        <v>14</v>
      </c>
      <c r="D197" t="s">
        <v>18</v>
      </c>
      <c r="E197" t="s">
        <v>19</v>
      </c>
      <c r="F197" t="s">
        <v>49</v>
      </c>
      <c r="G197" t="s">
        <v>33</v>
      </c>
      <c r="H197">
        <v>12554</v>
      </c>
      <c r="I197">
        <v>7624</v>
      </c>
    </row>
    <row r="198" spans="1:9" x14ac:dyDescent="0.35">
      <c r="A198">
        <v>197</v>
      </c>
      <c r="B198" s="1">
        <v>45682</v>
      </c>
      <c r="C198" t="s">
        <v>9</v>
      </c>
      <c r="D198" t="s">
        <v>10</v>
      </c>
      <c r="E198" t="s">
        <v>42</v>
      </c>
      <c r="F198" t="s">
        <v>73</v>
      </c>
      <c r="G198" t="s">
        <v>35</v>
      </c>
      <c r="H198">
        <v>3970</v>
      </c>
      <c r="I198">
        <v>3382</v>
      </c>
    </row>
    <row r="199" spans="1:9" x14ac:dyDescent="0.35">
      <c r="A199">
        <v>198</v>
      </c>
      <c r="B199" s="1">
        <v>45710</v>
      </c>
      <c r="C199" t="s">
        <v>17</v>
      </c>
      <c r="D199" t="s">
        <v>10</v>
      </c>
      <c r="E199" t="s">
        <v>42</v>
      </c>
      <c r="F199" t="s">
        <v>73</v>
      </c>
      <c r="G199" t="s">
        <v>35</v>
      </c>
      <c r="H199">
        <v>7069</v>
      </c>
      <c r="I199">
        <v>4510</v>
      </c>
    </row>
    <row r="200" spans="1:9" x14ac:dyDescent="0.35">
      <c r="A200">
        <v>199</v>
      </c>
      <c r="B200" s="1">
        <v>45707</v>
      </c>
      <c r="C200" t="s">
        <v>14</v>
      </c>
      <c r="D200" t="s">
        <v>18</v>
      </c>
      <c r="E200" t="s">
        <v>19</v>
      </c>
      <c r="F200" t="s">
        <v>30</v>
      </c>
      <c r="G200" t="s">
        <v>35</v>
      </c>
      <c r="H200">
        <v>17934</v>
      </c>
      <c r="I200">
        <v>14381</v>
      </c>
    </row>
    <row r="201" spans="1:9" x14ac:dyDescent="0.35">
      <c r="A201">
        <v>200</v>
      </c>
      <c r="B201" s="1">
        <v>45683</v>
      </c>
      <c r="C201" t="s">
        <v>37</v>
      </c>
      <c r="D201" t="s">
        <v>18</v>
      </c>
      <c r="E201" t="s">
        <v>29</v>
      </c>
      <c r="F201" t="s">
        <v>43</v>
      </c>
      <c r="G201" t="s">
        <v>35</v>
      </c>
      <c r="H201">
        <v>6437</v>
      </c>
      <c r="I201">
        <v>4292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E12" sqref="E12"/>
    </sheetView>
  </sheetViews>
  <sheetFormatPr defaultRowHeight="14.5" x14ac:dyDescent="0.35"/>
  <cols>
    <col min="2" max="2" width="14" customWidth="1"/>
    <col min="3" max="3" width="15.7265625" customWidth="1"/>
  </cols>
  <sheetData>
    <row r="1" spans="1:4" x14ac:dyDescent="0.35">
      <c r="A1" s="2" t="s">
        <v>78</v>
      </c>
      <c r="B1" s="2" t="s">
        <v>79</v>
      </c>
      <c r="C1" t="s">
        <v>144</v>
      </c>
      <c r="D1" t="s">
        <v>142</v>
      </c>
    </row>
    <row r="2" spans="1:4" x14ac:dyDescent="0.35">
      <c r="A2" s="2" t="s">
        <v>28</v>
      </c>
      <c r="B2" s="2">
        <v>45000</v>
      </c>
      <c r="C2">
        <f>SUMIF(Assg!G2:G201,' Employee_Salary'!A2,Assg!H2:H201)</f>
        <v>750452</v>
      </c>
      <c r="D2">
        <f>RANK(C2,$C$2:$C$6)</f>
        <v>1</v>
      </c>
    </row>
    <row r="3" spans="1:4" x14ac:dyDescent="0.35">
      <c r="A3" s="2" t="s">
        <v>33</v>
      </c>
      <c r="B3" s="2">
        <v>42000</v>
      </c>
      <c r="C3">
        <f>SUMIF(Assg!G3:G202,' Employee_Salary'!A3,Assg!H3:H202)</f>
        <v>633574</v>
      </c>
      <c r="D3">
        <f>RANK(C3,$C$2:$C$6)</f>
        <v>4</v>
      </c>
    </row>
    <row r="4" spans="1:4" x14ac:dyDescent="0.35">
      <c r="A4" s="2" t="s">
        <v>35</v>
      </c>
      <c r="B4" s="2">
        <v>40000</v>
      </c>
      <c r="C4">
        <f>SUMIF(Assg!G4:G203,' Employee_Salary'!A4,Assg!H4:H203)</f>
        <v>648534</v>
      </c>
      <c r="D4">
        <f>RANK(C4,$C$2:$C$6)</f>
        <v>3</v>
      </c>
    </row>
    <row r="5" spans="1:4" x14ac:dyDescent="0.35">
      <c r="A5" s="2" t="s">
        <v>13</v>
      </c>
      <c r="B5" s="2">
        <v>47000</v>
      </c>
      <c r="C5">
        <f>SUMIF(Assg!G5:G204,' Employee_Salary'!A5,Assg!H5:H204)</f>
        <v>481886</v>
      </c>
      <c r="D5">
        <f>RANK(C5,$C$2:$C$6)</f>
        <v>5</v>
      </c>
    </row>
    <row r="6" spans="1:4" x14ac:dyDescent="0.35">
      <c r="A6" s="2" t="s">
        <v>23</v>
      </c>
      <c r="B6" s="2">
        <v>43000</v>
      </c>
      <c r="C6">
        <f>SUMIF(Assg!G6:G205,' Employee_Salary'!A6,Assg!H6:H205)</f>
        <v>690149</v>
      </c>
      <c r="D6">
        <f>RANK(C6,$C$2:$C$6)</f>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workbookViewId="0">
      <selection activeCell="L3" sqref="L3:N3"/>
    </sheetView>
  </sheetViews>
  <sheetFormatPr defaultRowHeight="14.5" x14ac:dyDescent="0.35"/>
  <sheetData>
    <row r="1" spans="1:16" x14ac:dyDescent="0.35">
      <c r="A1" t="s">
        <v>0</v>
      </c>
      <c r="B1" s="4" t="s">
        <v>1</v>
      </c>
      <c r="C1" t="s">
        <v>2</v>
      </c>
      <c r="D1" t="s">
        <v>3</v>
      </c>
      <c r="E1" t="s">
        <v>4</v>
      </c>
      <c r="F1" t="s">
        <v>5</v>
      </c>
      <c r="G1" t="s">
        <v>6</v>
      </c>
      <c r="H1" t="s">
        <v>7</v>
      </c>
      <c r="I1" t="s">
        <v>8</v>
      </c>
    </row>
    <row r="2" spans="1:16" x14ac:dyDescent="0.35">
      <c r="A2">
        <v>1</v>
      </c>
      <c r="B2" s="4">
        <v>45660</v>
      </c>
      <c r="C2" t="s">
        <v>9</v>
      </c>
      <c r="D2" t="s">
        <v>10</v>
      </c>
      <c r="E2" t="s">
        <v>11</v>
      </c>
      <c r="F2" t="s">
        <v>12</v>
      </c>
      <c r="G2" t="s">
        <v>13</v>
      </c>
      <c r="H2">
        <v>5811</v>
      </c>
      <c r="I2">
        <v>5067</v>
      </c>
      <c r="L2" s="3" t="s">
        <v>80</v>
      </c>
      <c r="M2" s="3"/>
      <c r="N2" s="3"/>
      <c r="O2" s="3"/>
      <c r="P2" s="3"/>
    </row>
    <row r="3" spans="1:16" ht="18.5" x14ac:dyDescent="0.45">
      <c r="A3">
        <v>2</v>
      </c>
      <c r="B3" s="4">
        <v>45710</v>
      </c>
      <c r="C3" t="s">
        <v>14</v>
      </c>
      <c r="D3" t="s">
        <v>10</v>
      </c>
      <c r="E3" t="s">
        <v>15</v>
      </c>
      <c r="F3" t="s">
        <v>16</v>
      </c>
      <c r="G3" t="s">
        <v>13</v>
      </c>
      <c r="H3">
        <v>13553</v>
      </c>
      <c r="I3">
        <v>8173</v>
      </c>
      <c r="L3" s="3" t="s">
        <v>81</v>
      </c>
      <c r="M3" s="3"/>
      <c r="N3" s="3"/>
      <c r="P3" s="5" t="s">
        <v>89</v>
      </c>
    </row>
    <row r="4" spans="1:16" x14ac:dyDescent="0.35">
      <c r="A4">
        <v>3</v>
      </c>
      <c r="B4" s="4">
        <v>45714</v>
      </c>
      <c r="C4" t="s">
        <v>17</v>
      </c>
      <c r="D4" t="s">
        <v>18</v>
      </c>
      <c r="E4" t="s">
        <v>19</v>
      </c>
      <c r="F4" t="s">
        <v>20</v>
      </c>
      <c r="G4" t="s">
        <v>13</v>
      </c>
      <c r="H4">
        <v>7987</v>
      </c>
      <c r="I4">
        <v>5653</v>
      </c>
      <c r="L4" t="s">
        <v>82</v>
      </c>
      <c r="P4" s="3" t="s">
        <v>86</v>
      </c>
    </row>
    <row r="5" spans="1:16" x14ac:dyDescent="0.35">
      <c r="A5">
        <v>4</v>
      </c>
      <c r="B5" s="4">
        <v>45710</v>
      </c>
      <c r="C5" t="s">
        <v>9</v>
      </c>
      <c r="D5" t="s">
        <v>10</v>
      </c>
      <c r="E5" t="s">
        <v>21</v>
      </c>
      <c r="F5" t="s">
        <v>22</v>
      </c>
      <c r="G5" t="s">
        <v>23</v>
      </c>
      <c r="H5">
        <v>3254</v>
      </c>
      <c r="I5">
        <v>2435</v>
      </c>
      <c r="L5" t="s">
        <v>83</v>
      </c>
      <c r="P5" s="3" t="s">
        <v>87</v>
      </c>
    </row>
    <row r="6" spans="1:16" x14ac:dyDescent="0.35">
      <c r="A6">
        <v>5</v>
      </c>
      <c r="B6" s="4">
        <v>45702</v>
      </c>
      <c r="C6" t="s">
        <v>17</v>
      </c>
      <c r="D6" t="s">
        <v>18</v>
      </c>
      <c r="E6" t="s">
        <v>19</v>
      </c>
      <c r="F6" t="s">
        <v>24</v>
      </c>
      <c r="G6" t="s">
        <v>23</v>
      </c>
      <c r="H6">
        <v>13732</v>
      </c>
      <c r="I6">
        <v>11076</v>
      </c>
      <c r="L6" t="s">
        <v>84</v>
      </c>
      <c r="P6" s="3" t="s">
        <v>88</v>
      </c>
    </row>
    <row r="7" spans="1:16" x14ac:dyDescent="0.35">
      <c r="A7">
        <v>6</v>
      </c>
      <c r="B7" s="4">
        <v>45669</v>
      </c>
      <c r="C7" t="s">
        <v>17</v>
      </c>
      <c r="D7" t="s">
        <v>10</v>
      </c>
      <c r="E7" t="s">
        <v>11</v>
      </c>
      <c r="F7" t="s">
        <v>25</v>
      </c>
      <c r="G7" t="s">
        <v>13</v>
      </c>
      <c r="H7">
        <v>17328</v>
      </c>
      <c r="I7">
        <v>14130</v>
      </c>
      <c r="L7" t="s">
        <v>85</v>
      </c>
      <c r="P7" s="3" t="s">
        <v>90</v>
      </c>
    </row>
    <row r="8" spans="1:16" x14ac:dyDescent="0.35">
      <c r="A8">
        <v>7</v>
      </c>
      <c r="B8" s="4">
        <v>45687</v>
      </c>
      <c r="C8" t="s">
        <v>14</v>
      </c>
      <c r="D8" t="s">
        <v>18</v>
      </c>
      <c r="E8" t="s">
        <v>26</v>
      </c>
      <c r="F8" t="s">
        <v>27</v>
      </c>
      <c r="G8" t="s">
        <v>28</v>
      </c>
      <c r="H8">
        <v>16650</v>
      </c>
      <c r="I8">
        <v>14634</v>
      </c>
    </row>
    <row r="9" spans="1:16" x14ac:dyDescent="0.35">
      <c r="A9">
        <v>8</v>
      </c>
      <c r="B9" s="4">
        <v>45661</v>
      </c>
      <c r="C9" t="s">
        <v>17</v>
      </c>
      <c r="D9" t="s">
        <v>18</v>
      </c>
      <c r="E9" t="s">
        <v>29</v>
      </c>
      <c r="F9" t="s">
        <v>30</v>
      </c>
      <c r="G9" t="s">
        <v>13</v>
      </c>
      <c r="H9">
        <v>4964</v>
      </c>
      <c r="I9">
        <v>3181</v>
      </c>
    </row>
    <row r="10" spans="1:16" x14ac:dyDescent="0.35">
      <c r="A10">
        <v>9</v>
      </c>
      <c r="B10" s="4">
        <v>45705</v>
      </c>
      <c r="C10" t="s">
        <v>14</v>
      </c>
      <c r="D10" t="s">
        <v>10</v>
      </c>
      <c r="E10" t="s">
        <v>11</v>
      </c>
      <c r="F10" t="s">
        <v>31</v>
      </c>
      <c r="G10" t="s">
        <v>23</v>
      </c>
      <c r="H10">
        <v>19497</v>
      </c>
      <c r="I10">
        <v>16208</v>
      </c>
    </row>
    <row r="11" spans="1:16" x14ac:dyDescent="0.35">
      <c r="A11">
        <v>10</v>
      </c>
      <c r="B11" s="4">
        <v>45693</v>
      </c>
      <c r="C11" t="s">
        <v>17</v>
      </c>
      <c r="D11" t="s">
        <v>18</v>
      </c>
      <c r="E11" t="s">
        <v>32</v>
      </c>
      <c r="F11" t="s">
        <v>25</v>
      </c>
      <c r="G11" t="s">
        <v>33</v>
      </c>
      <c r="H11">
        <v>29094</v>
      </c>
      <c r="I11">
        <v>19174</v>
      </c>
    </row>
    <row r="12" spans="1:16" x14ac:dyDescent="0.35">
      <c r="A12">
        <v>11</v>
      </c>
      <c r="B12" s="4">
        <v>45666</v>
      </c>
      <c r="C12" t="s">
        <v>9</v>
      </c>
      <c r="D12" t="s">
        <v>18</v>
      </c>
      <c r="E12" t="s">
        <v>19</v>
      </c>
      <c r="F12" t="s">
        <v>34</v>
      </c>
      <c r="G12" t="s">
        <v>35</v>
      </c>
      <c r="H12">
        <v>27904</v>
      </c>
      <c r="I12">
        <v>24463</v>
      </c>
    </row>
    <row r="13" spans="1:16" x14ac:dyDescent="0.35">
      <c r="A13">
        <v>12</v>
      </c>
      <c r="B13" s="4">
        <v>45680</v>
      </c>
      <c r="C13" t="s">
        <v>14</v>
      </c>
      <c r="D13" t="s">
        <v>18</v>
      </c>
      <c r="E13" t="s">
        <v>29</v>
      </c>
      <c r="F13" t="s">
        <v>36</v>
      </c>
      <c r="G13" t="s">
        <v>28</v>
      </c>
      <c r="H13">
        <v>9233</v>
      </c>
      <c r="I13">
        <v>6766</v>
      </c>
    </row>
    <row r="14" spans="1:16" x14ac:dyDescent="0.35">
      <c r="A14">
        <v>13</v>
      </c>
      <c r="B14" s="4">
        <v>45713</v>
      </c>
      <c r="C14" t="s">
        <v>37</v>
      </c>
      <c r="D14" t="s">
        <v>10</v>
      </c>
      <c r="E14" t="s">
        <v>15</v>
      </c>
      <c r="F14" t="s">
        <v>38</v>
      </c>
      <c r="G14" t="s">
        <v>13</v>
      </c>
      <c r="H14">
        <v>27329</v>
      </c>
      <c r="I14">
        <v>18038</v>
      </c>
    </row>
    <row r="15" spans="1:16" x14ac:dyDescent="0.35">
      <c r="A15">
        <v>14</v>
      </c>
      <c r="B15" s="4">
        <v>45700</v>
      </c>
      <c r="C15" t="s">
        <v>9</v>
      </c>
      <c r="D15" t="s">
        <v>10</v>
      </c>
      <c r="E15" t="s">
        <v>15</v>
      </c>
      <c r="F15" t="s">
        <v>39</v>
      </c>
      <c r="G15" t="s">
        <v>33</v>
      </c>
      <c r="H15">
        <v>6994</v>
      </c>
      <c r="I15">
        <v>5062</v>
      </c>
    </row>
    <row r="16" spans="1:16" x14ac:dyDescent="0.35">
      <c r="A16">
        <v>15</v>
      </c>
      <c r="B16" s="4">
        <v>45684</v>
      </c>
      <c r="C16" t="s">
        <v>37</v>
      </c>
      <c r="D16" t="s">
        <v>10</v>
      </c>
      <c r="E16" t="s">
        <v>11</v>
      </c>
      <c r="F16" t="s">
        <v>40</v>
      </c>
      <c r="G16" t="s">
        <v>13</v>
      </c>
      <c r="H16">
        <v>6822</v>
      </c>
      <c r="I16">
        <v>5407</v>
      </c>
    </row>
    <row r="17" spans="1:9" x14ac:dyDescent="0.35">
      <c r="A17">
        <v>16</v>
      </c>
      <c r="B17" s="4">
        <v>45670</v>
      </c>
      <c r="C17" t="s">
        <v>37</v>
      </c>
      <c r="D17" t="s">
        <v>18</v>
      </c>
      <c r="E17" t="s">
        <v>29</v>
      </c>
      <c r="F17" t="s">
        <v>34</v>
      </c>
      <c r="G17" t="s">
        <v>23</v>
      </c>
      <c r="H17">
        <v>14681</v>
      </c>
      <c r="I17">
        <v>11778</v>
      </c>
    </row>
    <row r="18" spans="1:9" x14ac:dyDescent="0.35">
      <c r="A18">
        <v>17</v>
      </c>
      <c r="B18" s="4">
        <v>45671</v>
      </c>
      <c r="C18" t="s">
        <v>9</v>
      </c>
      <c r="D18" t="s">
        <v>18</v>
      </c>
      <c r="E18" t="s">
        <v>26</v>
      </c>
      <c r="F18" t="s">
        <v>41</v>
      </c>
      <c r="G18" t="s">
        <v>28</v>
      </c>
      <c r="H18">
        <v>21800</v>
      </c>
      <c r="I18">
        <v>16672</v>
      </c>
    </row>
    <row r="19" spans="1:9" x14ac:dyDescent="0.35">
      <c r="A19">
        <v>18</v>
      </c>
      <c r="B19" s="4">
        <v>45706</v>
      </c>
      <c r="C19" t="s">
        <v>37</v>
      </c>
      <c r="D19" t="s">
        <v>18</v>
      </c>
      <c r="E19" t="s">
        <v>29</v>
      </c>
      <c r="F19" t="s">
        <v>36</v>
      </c>
      <c r="G19" t="s">
        <v>35</v>
      </c>
      <c r="H19">
        <v>27543</v>
      </c>
      <c r="I19">
        <v>21241</v>
      </c>
    </row>
    <row r="20" spans="1:9" x14ac:dyDescent="0.35">
      <c r="A20">
        <v>19</v>
      </c>
      <c r="B20" s="4">
        <v>45709</v>
      </c>
      <c r="C20" t="s">
        <v>17</v>
      </c>
      <c r="D20" t="s">
        <v>10</v>
      </c>
      <c r="E20" t="s">
        <v>42</v>
      </c>
      <c r="F20" t="s">
        <v>20</v>
      </c>
      <c r="G20" t="s">
        <v>28</v>
      </c>
      <c r="H20">
        <v>8177</v>
      </c>
      <c r="I20">
        <v>6277</v>
      </c>
    </row>
    <row r="21" spans="1:9" x14ac:dyDescent="0.35">
      <c r="A21">
        <v>20</v>
      </c>
      <c r="B21" s="4">
        <v>45688</v>
      </c>
      <c r="C21" t="s">
        <v>14</v>
      </c>
      <c r="D21" t="s">
        <v>18</v>
      </c>
      <c r="E21" t="s">
        <v>32</v>
      </c>
      <c r="F21" t="s">
        <v>43</v>
      </c>
      <c r="G21" t="s">
        <v>33</v>
      </c>
      <c r="H21">
        <v>17261</v>
      </c>
      <c r="I21">
        <v>14516</v>
      </c>
    </row>
    <row r="22" spans="1:9" x14ac:dyDescent="0.35">
      <c r="A22">
        <v>21</v>
      </c>
      <c r="B22" s="4">
        <v>45680</v>
      </c>
      <c r="C22" t="s">
        <v>37</v>
      </c>
      <c r="D22" t="s">
        <v>18</v>
      </c>
      <c r="E22" t="s">
        <v>26</v>
      </c>
      <c r="F22" t="s">
        <v>44</v>
      </c>
      <c r="G22" t="s">
        <v>28</v>
      </c>
      <c r="H22">
        <v>13080</v>
      </c>
      <c r="I22">
        <v>11394</v>
      </c>
    </row>
    <row r="23" spans="1:9" x14ac:dyDescent="0.35">
      <c r="A23">
        <v>22</v>
      </c>
      <c r="B23" s="4">
        <v>45683</v>
      </c>
      <c r="C23" t="s">
        <v>9</v>
      </c>
      <c r="D23" t="s">
        <v>10</v>
      </c>
      <c r="E23" t="s">
        <v>15</v>
      </c>
      <c r="F23" t="s">
        <v>45</v>
      </c>
      <c r="G23" t="s">
        <v>33</v>
      </c>
      <c r="H23">
        <v>12676</v>
      </c>
      <c r="I23">
        <v>8182</v>
      </c>
    </row>
    <row r="24" spans="1:9" x14ac:dyDescent="0.35">
      <c r="A24">
        <v>23</v>
      </c>
      <c r="B24" s="4">
        <v>45679</v>
      </c>
      <c r="C24" t="s">
        <v>9</v>
      </c>
      <c r="D24" t="s">
        <v>10</v>
      </c>
      <c r="E24" t="s">
        <v>21</v>
      </c>
      <c r="F24" t="s">
        <v>45</v>
      </c>
      <c r="G24" t="s">
        <v>13</v>
      </c>
      <c r="H24">
        <v>12995</v>
      </c>
      <c r="I24">
        <v>10838</v>
      </c>
    </row>
    <row r="25" spans="1:9" x14ac:dyDescent="0.35">
      <c r="A25">
        <v>24</v>
      </c>
      <c r="B25" s="4">
        <v>45714</v>
      </c>
      <c r="C25" t="s">
        <v>17</v>
      </c>
      <c r="D25" t="s">
        <v>10</v>
      </c>
      <c r="E25" t="s">
        <v>15</v>
      </c>
      <c r="F25" t="s">
        <v>46</v>
      </c>
      <c r="G25" t="s">
        <v>33</v>
      </c>
      <c r="H25">
        <v>26402</v>
      </c>
      <c r="I25">
        <v>22809</v>
      </c>
    </row>
    <row r="26" spans="1:9" x14ac:dyDescent="0.35">
      <c r="A26">
        <v>25</v>
      </c>
      <c r="B26" s="4">
        <v>45677</v>
      </c>
      <c r="C26" t="s">
        <v>17</v>
      </c>
      <c r="D26" t="s">
        <v>18</v>
      </c>
      <c r="E26" t="s">
        <v>29</v>
      </c>
      <c r="F26" t="s">
        <v>47</v>
      </c>
      <c r="G26" t="s">
        <v>33</v>
      </c>
      <c r="H26">
        <v>20499</v>
      </c>
      <c r="I26">
        <v>13107</v>
      </c>
    </row>
    <row r="27" spans="1:9" x14ac:dyDescent="0.35">
      <c r="A27">
        <v>26</v>
      </c>
      <c r="B27" s="4">
        <v>45682</v>
      </c>
      <c r="C27" t="s">
        <v>37</v>
      </c>
      <c r="D27" t="s">
        <v>10</v>
      </c>
      <c r="E27" t="s">
        <v>11</v>
      </c>
      <c r="F27" t="s">
        <v>48</v>
      </c>
      <c r="G27" t="s">
        <v>35</v>
      </c>
      <c r="H27">
        <v>22507</v>
      </c>
      <c r="I27">
        <v>15607</v>
      </c>
    </row>
    <row r="28" spans="1:9" x14ac:dyDescent="0.35">
      <c r="A28">
        <v>27</v>
      </c>
      <c r="B28" s="4">
        <v>45702</v>
      </c>
      <c r="C28" t="s">
        <v>37</v>
      </c>
      <c r="D28" t="s">
        <v>10</v>
      </c>
      <c r="E28" t="s">
        <v>21</v>
      </c>
      <c r="F28" t="s">
        <v>46</v>
      </c>
      <c r="G28" t="s">
        <v>35</v>
      </c>
      <c r="H28">
        <v>4786</v>
      </c>
      <c r="I28">
        <v>3412</v>
      </c>
    </row>
    <row r="29" spans="1:9" x14ac:dyDescent="0.35">
      <c r="A29">
        <v>28</v>
      </c>
      <c r="B29" s="4">
        <v>45668</v>
      </c>
      <c r="C29" t="s">
        <v>9</v>
      </c>
      <c r="D29" t="s">
        <v>18</v>
      </c>
      <c r="E29" t="s">
        <v>26</v>
      </c>
      <c r="F29" t="s">
        <v>43</v>
      </c>
      <c r="G29" t="s">
        <v>28</v>
      </c>
      <c r="H29">
        <v>26850</v>
      </c>
      <c r="I29">
        <v>20892</v>
      </c>
    </row>
    <row r="30" spans="1:9" x14ac:dyDescent="0.35">
      <c r="A30">
        <v>29</v>
      </c>
      <c r="B30" s="4">
        <v>45687</v>
      </c>
      <c r="C30" t="s">
        <v>37</v>
      </c>
      <c r="D30" t="s">
        <v>18</v>
      </c>
      <c r="E30" t="s">
        <v>19</v>
      </c>
      <c r="F30" t="s">
        <v>49</v>
      </c>
      <c r="G30" t="s">
        <v>23</v>
      </c>
      <c r="H30">
        <v>19466</v>
      </c>
      <c r="I30">
        <v>17460</v>
      </c>
    </row>
    <row r="31" spans="1:9" x14ac:dyDescent="0.35">
      <c r="A31">
        <v>30</v>
      </c>
      <c r="B31" s="4">
        <v>45703</v>
      </c>
      <c r="C31" t="s">
        <v>9</v>
      </c>
      <c r="D31" t="s">
        <v>10</v>
      </c>
      <c r="E31" t="s">
        <v>15</v>
      </c>
      <c r="F31" t="s">
        <v>36</v>
      </c>
      <c r="G31" t="s">
        <v>35</v>
      </c>
      <c r="H31">
        <v>14784</v>
      </c>
      <c r="I31">
        <v>9723</v>
      </c>
    </row>
    <row r="32" spans="1:9" x14ac:dyDescent="0.35">
      <c r="A32">
        <v>31</v>
      </c>
      <c r="B32" s="4">
        <v>45670</v>
      </c>
      <c r="C32" t="s">
        <v>9</v>
      </c>
      <c r="D32" t="s">
        <v>18</v>
      </c>
      <c r="E32" t="s">
        <v>29</v>
      </c>
      <c r="F32" t="s">
        <v>50</v>
      </c>
      <c r="G32" t="s">
        <v>35</v>
      </c>
      <c r="H32">
        <v>28085</v>
      </c>
      <c r="I32">
        <v>22509</v>
      </c>
    </row>
    <row r="33" spans="1:9" x14ac:dyDescent="0.35">
      <c r="A33">
        <v>32</v>
      </c>
      <c r="B33" s="4">
        <v>45675</v>
      </c>
      <c r="C33" t="s">
        <v>37</v>
      </c>
      <c r="D33" t="s">
        <v>18</v>
      </c>
      <c r="E33" t="s">
        <v>26</v>
      </c>
      <c r="F33" t="s">
        <v>51</v>
      </c>
      <c r="G33" t="s">
        <v>33</v>
      </c>
      <c r="H33">
        <v>11264</v>
      </c>
      <c r="I33">
        <v>9957</v>
      </c>
    </row>
    <row r="34" spans="1:9" x14ac:dyDescent="0.35">
      <c r="A34">
        <v>33</v>
      </c>
      <c r="B34" s="4">
        <v>45680</v>
      </c>
      <c r="C34" t="s">
        <v>17</v>
      </c>
      <c r="D34" t="s">
        <v>18</v>
      </c>
      <c r="E34" t="s">
        <v>29</v>
      </c>
      <c r="F34" t="s">
        <v>44</v>
      </c>
      <c r="G34" t="s">
        <v>28</v>
      </c>
      <c r="H34">
        <v>10384</v>
      </c>
      <c r="I34">
        <v>7534</v>
      </c>
    </row>
    <row r="35" spans="1:9" x14ac:dyDescent="0.35">
      <c r="A35">
        <v>34</v>
      </c>
      <c r="B35" s="4">
        <v>45674</v>
      </c>
      <c r="C35" t="s">
        <v>14</v>
      </c>
      <c r="D35" t="s">
        <v>18</v>
      </c>
      <c r="E35" t="s">
        <v>19</v>
      </c>
      <c r="F35" t="s">
        <v>39</v>
      </c>
      <c r="G35" t="s">
        <v>33</v>
      </c>
      <c r="H35">
        <v>13816</v>
      </c>
      <c r="I35">
        <v>9688</v>
      </c>
    </row>
    <row r="36" spans="1:9" x14ac:dyDescent="0.35">
      <c r="A36">
        <v>35</v>
      </c>
      <c r="B36" s="4">
        <v>45673</v>
      </c>
      <c r="C36" t="s">
        <v>9</v>
      </c>
      <c r="D36" t="s">
        <v>10</v>
      </c>
      <c r="E36" t="s">
        <v>15</v>
      </c>
      <c r="F36" t="s">
        <v>52</v>
      </c>
      <c r="G36" t="s">
        <v>13</v>
      </c>
      <c r="H36">
        <v>19945</v>
      </c>
      <c r="I36">
        <v>17781</v>
      </c>
    </row>
    <row r="37" spans="1:9" x14ac:dyDescent="0.35">
      <c r="A37">
        <v>36</v>
      </c>
      <c r="B37" s="4">
        <v>45713</v>
      </c>
      <c r="C37" t="s">
        <v>9</v>
      </c>
      <c r="D37" t="s">
        <v>10</v>
      </c>
      <c r="E37" t="s">
        <v>15</v>
      </c>
      <c r="F37" t="s">
        <v>40</v>
      </c>
      <c r="G37" t="s">
        <v>28</v>
      </c>
      <c r="H37">
        <v>12316</v>
      </c>
      <c r="I37">
        <v>10577</v>
      </c>
    </row>
    <row r="38" spans="1:9" x14ac:dyDescent="0.35">
      <c r="A38">
        <v>37</v>
      </c>
      <c r="B38" s="4">
        <v>45658</v>
      </c>
      <c r="C38" t="s">
        <v>9</v>
      </c>
      <c r="D38" t="s">
        <v>18</v>
      </c>
      <c r="E38" t="s">
        <v>26</v>
      </c>
      <c r="F38" t="s">
        <v>53</v>
      </c>
      <c r="G38" t="s">
        <v>33</v>
      </c>
      <c r="H38">
        <v>5269</v>
      </c>
      <c r="I38">
        <v>3833</v>
      </c>
    </row>
    <row r="39" spans="1:9" x14ac:dyDescent="0.35">
      <c r="A39">
        <v>38</v>
      </c>
      <c r="B39" s="4">
        <v>45661</v>
      </c>
      <c r="C39" t="s">
        <v>14</v>
      </c>
      <c r="D39" t="s">
        <v>10</v>
      </c>
      <c r="E39" t="s">
        <v>15</v>
      </c>
      <c r="F39" t="s">
        <v>43</v>
      </c>
      <c r="G39" t="s">
        <v>33</v>
      </c>
      <c r="H39">
        <v>23738</v>
      </c>
      <c r="I39">
        <v>16560</v>
      </c>
    </row>
    <row r="40" spans="1:9" x14ac:dyDescent="0.35">
      <c r="A40">
        <v>39</v>
      </c>
      <c r="B40" s="4">
        <v>45717</v>
      </c>
      <c r="C40" t="s">
        <v>37</v>
      </c>
      <c r="D40" t="s">
        <v>10</v>
      </c>
      <c r="E40" t="s">
        <v>11</v>
      </c>
      <c r="F40" t="s">
        <v>27</v>
      </c>
      <c r="G40" t="s">
        <v>23</v>
      </c>
      <c r="H40">
        <v>23819</v>
      </c>
      <c r="I40">
        <v>17508</v>
      </c>
    </row>
    <row r="41" spans="1:9" x14ac:dyDescent="0.35">
      <c r="A41">
        <v>40</v>
      </c>
      <c r="B41" s="4">
        <v>45696</v>
      </c>
      <c r="C41" t="s">
        <v>14</v>
      </c>
      <c r="D41" t="s">
        <v>18</v>
      </c>
      <c r="E41" t="s">
        <v>26</v>
      </c>
      <c r="F41" t="s">
        <v>38</v>
      </c>
      <c r="G41" t="s">
        <v>23</v>
      </c>
      <c r="H41">
        <v>4280</v>
      </c>
      <c r="I41">
        <v>2925</v>
      </c>
    </row>
    <row r="42" spans="1:9" x14ac:dyDescent="0.35">
      <c r="A42">
        <v>41</v>
      </c>
      <c r="B42" s="4">
        <v>45691</v>
      </c>
      <c r="C42" t="s">
        <v>17</v>
      </c>
      <c r="D42" t="s">
        <v>18</v>
      </c>
      <c r="E42" t="s">
        <v>26</v>
      </c>
      <c r="F42" t="s">
        <v>54</v>
      </c>
      <c r="G42" t="s">
        <v>33</v>
      </c>
      <c r="H42">
        <v>18083</v>
      </c>
      <c r="I42">
        <v>13861</v>
      </c>
    </row>
    <row r="43" spans="1:9" x14ac:dyDescent="0.35">
      <c r="A43">
        <v>42</v>
      </c>
      <c r="B43" s="4">
        <v>45681</v>
      </c>
      <c r="C43" t="s">
        <v>14</v>
      </c>
      <c r="D43" t="s">
        <v>10</v>
      </c>
      <c r="E43" t="s">
        <v>15</v>
      </c>
      <c r="F43" t="s">
        <v>46</v>
      </c>
      <c r="G43" t="s">
        <v>13</v>
      </c>
      <c r="H43">
        <v>22615</v>
      </c>
      <c r="I43">
        <v>14629</v>
      </c>
    </row>
    <row r="44" spans="1:9" x14ac:dyDescent="0.35">
      <c r="A44">
        <v>43</v>
      </c>
      <c r="B44" s="4">
        <v>45668</v>
      </c>
      <c r="C44" t="s">
        <v>17</v>
      </c>
      <c r="D44" t="s">
        <v>18</v>
      </c>
      <c r="E44" t="s">
        <v>32</v>
      </c>
      <c r="F44" t="s">
        <v>12</v>
      </c>
      <c r="G44" t="s">
        <v>33</v>
      </c>
      <c r="H44">
        <v>16811</v>
      </c>
      <c r="I44">
        <v>13746</v>
      </c>
    </row>
    <row r="45" spans="1:9" x14ac:dyDescent="0.35">
      <c r="A45">
        <v>44</v>
      </c>
      <c r="B45" s="4">
        <v>45682</v>
      </c>
      <c r="C45" t="s">
        <v>37</v>
      </c>
      <c r="D45" t="s">
        <v>10</v>
      </c>
      <c r="E45" t="s">
        <v>21</v>
      </c>
      <c r="F45" t="s">
        <v>53</v>
      </c>
      <c r="G45" t="s">
        <v>13</v>
      </c>
      <c r="H45">
        <v>12859</v>
      </c>
      <c r="I45">
        <v>8499</v>
      </c>
    </row>
    <row r="46" spans="1:9" x14ac:dyDescent="0.35">
      <c r="A46">
        <v>45</v>
      </c>
      <c r="B46" s="4">
        <v>45694</v>
      </c>
      <c r="C46" t="s">
        <v>37</v>
      </c>
      <c r="D46" t="s">
        <v>18</v>
      </c>
      <c r="E46" t="s">
        <v>29</v>
      </c>
      <c r="F46" t="s">
        <v>41</v>
      </c>
      <c r="G46" t="s">
        <v>33</v>
      </c>
      <c r="H46">
        <v>9025</v>
      </c>
      <c r="I46">
        <v>5975</v>
      </c>
    </row>
    <row r="47" spans="1:9" x14ac:dyDescent="0.35">
      <c r="A47">
        <v>46</v>
      </c>
      <c r="B47" s="4">
        <v>45704</v>
      </c>
      <c r="C47" t="s">
        <v>14</v>
      </c>
      <c r="D47" t="s">
        <v>10</v>
      </c>
      <c r="E47" t="s">
        <v>42</v>
      </c>
      <c r="F47" t="s">
        <v>52</v>
      </c>
      <c r="G47" t="s">
        <v>35</v>
      </c>
      <c r="H47">
        <v>27125</v>
      </c>
      <c r="I47">
        <v>24151</v>
      </c>
    </row>
    <row r="48" spans="1:9" x14ac:dyDescent="0.35">
      <c r="A48">
        <v>47</v>
      </c>
      <c r="B48" s="4">
        <v>45663</v>
      </c>
      <c r="C48" t="s">
        <v>37</v>
      </c>
      <c r="D48" t="s">
        <v>18</v>
      </c>
      <c r="E48" t="s">
        <v>32</v>
      </c>
      <c r="F48" t="s">
        <v>53</v>
      </c>
      <c r="G48" t="s">
        <v>28</v>
      </c>
      <c r="H48">
        <v>4910</v>
      </c>
      <c r="I48">
        <v>3805</v>
      </c>
    </row>
    <row r="49" spans="1:9" x14ac:dyDescent="0.35">
      <c r="A49">
        <v>48</v>
      </c>
      <c r="B49" s="4">
        <v>45687</v>
      </c>
      <c r="C49" t="s">
        <v>17</v>
      </c>
      <c r="D49" t="s">
        <v>10</v>
      </c>
      <c r="E49" t="s">
        <v>42</v>
      </c>
      <c r="F49" t="s">
        <v>50</v>
      </c>
      <c r="G49" t="s">
        <v>33</v>
      </c>
      <c r="H49">
        <v>13768</v>
      </c>
      <c r="I49">
        <v>10313</v>
      </c>
    </row>
    <row r="50" spans="1:9" x14ac:dyDescent="0.35">
      <c r="A50">
        <v>49</v>
      </c>
      <c r="B50" s="4">
        <v>45681</v>
      </c>
      <c r="C50" t="s">
        <v>17</v>
      </c>
      <c r="D50" t="s">
        <v>10</v>
      </c>
      <c r="E50" t="s">
        <v>15</v>
      </c>
      <c r="F50" t="s">
        <v>44</v>
      </c>
      <c r="G50" t="s">
        <v>35</v>
      </c>
      <c r="H50">
        <v>28518</v>
      </c>
      <c r="I50">
        <v>25660</v>
      </c>
    </row>
    <row r="51" spans="1:9" x14ac:dyDescent="0.35">
      <c r="A51">
        <v>50</v>
      </c>
      <c r="B51" s="4">
        <v>45706</v>
      </c>
      <c r="C51" t="s">
        <v>37</v>
      </c>
      <c r="D51" t="s">
        <v>10</v>
      </c>
      <c r="E51" t="s">
        <v>11</v>
      </c>
      <c r="F51" t="s">
        <v>54</v>
      </c>
      <c r="G51" t="s">
        <v>28</v>
      </c>
      <c r="H51">
        <v>24630</v>
      </c>
      <c r="I51">
        <v>16859</v>
      </c>
    </row>
    <row r="52" spans="1:9" x14ac:dyDescent="0.35">
      <c r="A52">
        <v>51</v>
      </c>
      <c r="B52" s="4">
        <v>45686</v>
      </c>
      <c r="C52" t="s">
        <v>17</v>
      </c>
      <c r="D52" t="s">
        <v>18</v>
      </c>
      <c r="E52" t="s">
        <v>19</v>
      </c>
      <c r="F52" t="s">
        <v>24</v>
      </c>
      <c r="G52" t="s">
        <v>33</v>
      </c>
      <c r="H52">
        <v>5943</v>
      </c>
      <c r="I52">
        <v>4384</v>
      </c>
    </row>
    <row r="53" spans="1:9" x14ac:dyDescent="0.35">
      <c r="A53">
        <v>52</v>
      </c>
      <c r="B53" s="4">
        <v>45700</v>
      </c>
      <c r="C53" t="s">
        <v>9</v>
      </c>
      <c r="D53" t="s">
        <v>10</v>
      </c>
      <c r="E53" t="s">
        <v>42</v>
      </c>
      <c r="F53" t="s">
        <v>52</v>
      </c>
      <c r="G53" t="s">
        <v>13</v>
      </c>
      <c r="H53">
        <v>12216</v>
      </c>
      <c r="I53">
        <v>8895</v>
      </c>
    </row>
    <row r="54" spans="1:9" x14ac:dyDescent="0.35">
      <c r="A54">
        <v>53</v>
      </c>
      <c r="B54" s="4">
        <v>45669</v>
      </c>
      <c r="C54" t="s">
        <v>14</v>
      </c>
      <c r="D54" t="s">
        <v>10</v>
      </c>
      <c r="E54" t="s">
        <v>42</v>
      </c>
      <c r="F54" t="s">
        <v>30</v>
      </c>
      <c r="G54" t="s">
        <v>28</v>
      </c>
      <c r="H54">
        <v>22306</v>
      </c>
      <c r="I54">
        <v>15746</v>
      </c>
    </row>
    <row r="55" spans="1:9" x14ac:dyDescent="0.35">
      <c r="A55">
        <v>54</v>
      </c>
      <c r="B55" s="4">
        <v>45667</v>
      </c>
      <c r="C55" t="s">
        <v>17</v>
      </c>
      <c r="D55" t="s">
        <v>10</v>
      </c>
      <c r="E55" t="s">
        <v>15</v>
      </c>
      <c r="F55" t="s">
        <v>20</v>
      </c>
      <c r="G55" t="s">
        <v>23</v>
      </c>
      <c r="H55">
        <v>17746</v>
      </c>
      <c r="I55">
        <v>11244</v>
      </c>
    </row>
    <row r="56" spans="1:9" x14ac:dyDescent="0.35">
      <c r="A56">
        <v>55</v>
      </c>
      <c r="B56" s="4">
        <v>45717</v>
      </c>
      <c r="C56" t="s">
        <v>9</v>
      </c>
      <c r="D56" t="s">
        <v>18</v>
      </c>
      <c r="E56" t="s">
        <v>32</v>
      </c>
      <c r="F56" t="s">
        <v>38</v>
      </c>
      <c r="G56" t="s">
        <v>28</v>
      </c>
      <c r="H56">
        <v>17314</v>
      </c>
      <c r="I56">
        <v>12062</v>
      </c>
    </row>
    <row r="57" spans="1:9" x14ac:dyDescent="0.35">
      <c r="A57">
        <v>56</v>
      </c>
      <c r="B57" s="4">
        <v>45678</v>
      </c>
      <c r="C57" t="s">
        <v>17</v>
      </c>
      <c r="D57" t="s">
        <v>10</v>
      </c>
      <c r="E57" t="s">
        <v>11</v>
      </c>
      <c r="F57" t="s">
        <v>48</v>
      </c>
      <c r="G57" t="s">
        <v>33</v>
      </c>
      <c r="H57">
        <v>26570</v>
      </c>
      <c r="I57">
        <v>20277</v>
      </c>
    </row>
    <row r="58" spans="1:9" x14ac:dyDescent="0.35">
      <c r="A58">
        <v>57</v>
      </c>
      <c r="B58" s="4">
        <v>45673</v>
      </c>
      <c r="C58" t="s">
        <v>9</v>
      </c>
      <c r="D58" t="s">
        <v>10</v>
      </c>
      <c r="E58" t="s">
        <v>42</v>
      </c>
      <c r="F58" t="s">
        <v>55</v>
      </c>
      <c r="G58" t="s">
        <v>35</v>
      </c>
      <c r="H58">
        <v>18440</v>
      </c>
      <c r="I58">
        <v>14772</v>
      </c>
    </row>
    <row r="59" spans="1:9" x14ac:dyDescent="0.35">
      <c r="A59">
        <v>58</v>
      </c>
      <c r="B59" s="4">
        <v>45677</v>
      </c>
      <c r="C59" t="s">
        <v>17</v>
      </c>
      <c r="D59" t="s">
        <v>10</v>
      </c>
      <c r="E59" t="s">
        <v>21</v>
      </c>
      <c r="F59" t="s">
        <v>55</v>
      </c>
      <c r="G59" t="s">
        <v>28</v>
      </c>
      <c r="H59">
        <v>18052</v>
      </c>
      <c r="I59">
        <v>16236</v>
      </c>
    </row>
    <row r="60" spans="1:9" x14ac:dyDescent="0.35">
      <c r="A60">
        <v>59</v>
      </c>
      <c r="B60" s="4">
        <v>45660</v>
      </c>
      <c r="C60" t="s">
        <v>14</v>
      </c>
      <c r="D60" t="s">
        <v>18</v>
      </c>
      <c r="E60" t="s">
        <v>29</v>
      </c>
      <c r="F60" t="s">
        <v>22</v>
      </c>
      <c r="G60" t="s">
        <v>28</v>
      </c>
      <c r="H60">
        <v>27796</v>
      </c>
      <c r="I60">
        <v>18235</v>
      </c>
    </row>
    <row r="61" spans="1:9" x14ac:dyDescent="0.35">
      <c r="A61">
        <v>60</v>
      </c>
      <c r="B61" s="4">
        <v>45683</v>
      </c>
      <c r="C61" t="s">
        <v>9</v>
      </c>
      <c r="D61" t="s">
        <v>10</v>
      </c>
      <c r="E61" t="s">
        <v>15</v>
      </c>
      <c r="F61" t="s">
        <v>56</v>
      </c>
      <c r="G61" t="s">
        <v>23</v>
      </c>
      <c r="H61">
        <v>21524</v>
      </c>
      <c r="I61">
        <v>14147</v>
      </c>
    </row>
    <row r="62" spans="1:9" x14ac:dyDescent="0.35">
      <c r="A62">
        <v>61</v>
      </c>
      <c r="B62" s="4">
        <v>45689</v>
      </c>
      <c r="C62" t="s">
        <v>9</v>
      </c>
      <c r="D62" t="s">
        <v>18</v>
      </c>
      <c r="E62" t="s">
        <v>19</v>
      </c>
      <c r="F62" t="s">
        <v>57</v>
      </c>
      <c r="G62" t="s">
        <v>13</v>
      </c>
      <c r="H62">
        <v>17658</v>
      </c>
      <c r="I62">
        <v>11884</v>
      </c>
    </row>
    <row r="63" spans="1:9" x14ac:dyDescent="0.35">
      <c r="A63">
        <v>62</v>
      </c>
      <c r="B63" s="4">
        <v>45659</v>
      </c>
      <c r="C63" t="s">
        <v>17</v>
      </c>
      <c r="D63" t="s">
        <v>18</v>
      </c>
      <c r="E63" t="s">
        <v>32</v>
      </c>
      <c r="F63" t="s">
        <v>58</v>
      </c>
      <c r="G63" t="s">
        <v>33</v>
      </c>
      <c r="H63">
        <v>16751</v>
      </c>
      <c r="I63">
        <v>12144</v>
      </c>
    </row>
    <row r="64" spans="1:9" x14ac:dyDescent="0.35">
      <c r="A64">
        <v>63</v>
      </c>
      <c r="B64" s="4">
        <v>45663</v>
      </c>
      <c r="C64" t="s">
        <v>17</v>
      </c>
      <c r="D64" t="s">
        <v>18</v>
      </c>
      <c r="E64" t="s">
        <v>32</v>
      </c>
      <c r="F64" t="s">
        <v>25</v>
      </c>
      <c r="G64" t="s">
        <v>13</v>
      </c>
      <c r="H64">
        <v>5069</v>
      </c>
      <c r="I64">
        <v>3665</v>
      </c>
    </row>
    <row r="65" spans="1:9" x14ac:dyDescent="0.35">
      <c r="A65">
        <v>64</v>
      </c>
      <c r="B65" s="4">
        <v>45704</v>
      </c>
      <c r="C65" t="s">
        <v>37</v>
      </c>
      <c r="D65" t="s">
        <v>10</v>
      </c>
      <c r="E65" t="s">
        <v>15</v>
      </c>
      <c r="F65" t="s">
        <v>59</v>
      </c>
      <c r="G65" t="s">
        <v>35</v>
      </c>
      <c r="H65">
        <v>29735</v>
      </c>
      <c r="I65">
        <v>24687</v>
      </c>
    </row>
    <row r="66" spans="1:9" x14ac:dyDescent="0.35">
      <c r="A66">
        <v>65</v>
      </c>
      <c r="B66" s="4">
        <v>45670</v>
      </c>
      <c r="C66" t="s">
        <v>17</v>
      </c>
      <c r="D66" t="s">
        <v>10</v>
      </c>
      <c r="E66" t="s">
        <v>21</v>
      </c>
      <c r="F66" t="s">
        <v>60</v>
      </c>
      <c r="G66" t="s">
        <v>35</v>
      </c>
      <c r="H66">
        <v>15491</v>
      </c>
      <c r="I66">
        <v>9853</v>
      </c>
    </row>
    <row r="67" spans="1:9" x14ac:dyDescent="0.35">
      <c r="A67">
        <v>66</v>
      </c>
      <c r="B67" s="4">
        <v>45713</v>
      </c>
      <c r="C67" t="s">
        <v>17</v>
      </c>
      <c r="D67" t="s">
        <v>10</v>
      </c>
      <c r="E67" t="s">
        <v>15</v>
      </c>
      <c r="F67" t="s">
        <v>61</v>
      </c>
      <c r="G67" t="s">
        <v>33</v>
      </c>
      <c r="H67">
        <v>28106</v>
      </c>
      <c r="I67">
        <v>25013</v>
      </c>
    </row>
    <row r="68" spans="1:9" x14ac:dyDescent="0.35">
      <c r="A68">
        <v>67</v>
      </c>
      <c r="B68" s="4">
        <v>45688</v>
      </c>
      <c r="C68" t="s">
        <v>14</v>
      </c>
      <c r="D68" t="s">
        <v>18</v>
      </c>
      <c r="E68" t="s">
        <v>29</v>
      </c>
      <c r="F68" t="s">
        <v>55</v>
      </c>
      <c r="G68" t="s">
        <v>35</v>
      </c>
      <c r="H68">
        <v>23089</v>
      </c>
      <c r="I68">
        <v>19254</v>
      </c>
    </row>
    <row r="69" spans="1:9" x14ac:dyDescent="0.35">
      <c r="A69">
        <v>68</v>
      </c>
      <c r="B69" s="4">
        <v>45678</v>
      </c>
      <c r="C69" t="s">
        <v>14</v>
      </c>
      <c r="D69" t="s">
        <v>18</v>
      </c>
      <c r="E69" t="s">
        <v>32</v>
      </c>
      <c r="F69" t="s">
        <v>24</v>
      </c>
      <c r="G69" t="s">
        <v>23</v>
      </c>
      <c r="H69">
        <v>20026</v>
      </c>
      <c r="I69">
        <v>17984</v>
      </c>
    </row>
    <row r="70" spans="1:9" x14ac:dyDescent="0.35">
      <c r="A70">
        <v>69</v>
      </c>
      <c r="B70" s="4">
        <v>45678</v>
      </c>
      <c r="C70" t="s">
        <v>9</v>
      </c>
      <c r="D70" t="s">
        <v>18</v>
      </c>
      <c r="E70" t="s">
        <v>26</v>
      </c>
      <c r="F70" t="s">
        <v>36</v>
      </c>
      <c r="G70" t="s">
        <v>13</v>
      </c>
      <c r="H70">
        <v>3988</v>
      </c>
      <c r="I70">
        <v>2714</v>
      </c>
    </row>
    <row r="71" spans="1:9" x14ac:dyDescent="0.35">
      <c r="A71">
        <v>70</v>
      </c>
      <c r="B71" s="4">
        <v>45668</v>
      </c>
      <c r="C71" t="s">
        <v>17</v>
      </c>
      <c r="D71" t="s">
        <v>10</v>
      </c>
      <c r="E71" t="s">
        <v>42</v>
      </c>
      <c r="F71" t="s">
        <v>22</v>
      </c>
      <c r="G71" t="s">
        <v>23</v>
      </c>
      <c r="H71">
        <v>9205</v>
      </c>
      <c r="I71">
        <v>8026</v>
      </c>
    </row>
    <row r="72" spans="1:9" x14ac:dyDescent="0.35">
      <c r="A72">
        <v>71</v>
      </c>
      <c r="B72" s="4">
        <v>45669</v>
      </c>
      <c r="C72" t="s">
        <v>37</v>
      </c>
      <c r="D72" t="s">
        <v>18</v>
      </c>
      <c r="E72" t="s">
        <v>26</v>
      </c>
      <c r="F72" t="s">
        <v>31</v>
      </c>
      <c r="G72" t="s">
        <v>28</v>
      </c>
      <c r="H72">
        <v>28902</v>
      </c>
      <c r="I72">
        <v>19105</v>
      </c>
    </row>
    <row r="73" spans="1:9" x14ac:dyDescent="0.35">
      <c r="A73">
        <v>72</v>
      </c>
      <c r="B73" s="4">
        <v>45690</v>
      </c>
      <c r="C73" t="s">
        <v>37</v>
      </c>
      <c r="D73" t="s">
        <v>18</v>
      </c>
      <c r="E73" t="s">
        <v>26</v>
      </c>
      <c r="F73" t="s">
        <v>62</v>
      </c>
      <c r="G73" t="s">
        <v>23</v>
      </c>
      <c r="H73">
        <v>17678</v>
      </c>
      <c r="I73">
        <v>14746</v>
      </c>
    </row>
    <row r="74" spans="1:9" x14ac:dyDescent="0.35">
      <c r="A74">
        <v>73</v>
      </c>
      <c r="B74" s="4">
        <v>45676</v>
      </c>
      <c r="C74" t="s">
        <v>9</v>
      </c>
      <c r="D74" t="s">
        <v>18</v>
      </c>
      <c r="E74" t="s">
        <v>29</v>
      </c>
      <c r="F74" t="s">
        <v>53</v>
      </c>
      <c r="G74" t="s">
        <v>35</v>
      </c>
      <c r="H74">
        <v>26496</v>
      </c>
      <c r="I74">
        <v>23793</v>
      </c>
    </row>
    <row r="75" spans="1:9" x14ac:dyDescent="0.35">
      <c r="A75">
        <v>74</v>
      </c>
      <c r="B75" s="4">
        <v>45702</v>
      </c>
      <c r="C75" t="s">
        <v>14</v>
      </c>
      <c r="D75" t="s">
        <v>18</v>
      </c>
      <c r="E75" t="s">
        <v>32</v>
      </c>
      <c r="F75" t="s">
        <v>63</v>
      </c>
      <c r="G75" t="s">
        <v>23</v>
      </c>
      <c r="H75">
        <v>6369</v>
      </c>
      <c r="I75">
        <v>5405</v>
      </c>
    </row>
    <row r="76" spans="1:9" x14ac:dyDescent="0.35">
      <c r="A76">
        <v>75</v>
      </c>
      <c r="B76" s="4">
        <v>45670</v>
      </c>
      <c r="C76" t="s">
        <v>9</v>
      </c>
      <c r="D76" t="s">
        <v>18</v>
      </c>
      <c r="E76" t="s">
        <v>19</v>
      </c>
      <c r="F76" t="s">
        <v>22</v>
      </c>
      <c r="G76" t="s">
        <v>35</v>
      </c>
      <c r="H76">
        <v>17004</v>
      </c>
      <c r="I76">
        <v>10698</v>
      </c>
    </row>
    <row r="77" spans="1:9" x14ac:dyDescent="0.35">
      <c r="A77">
        <v>76</v>
      </c>
      <c r="B77" s="4">
        <v>45695</v>
      </c>
      <c r="C77" t="s">
        <v>9</v>
      </c>
      <c r="D77" t="s">
        <v>10</v>
      </c>
      <c r="E77" t="s">
        <v>11</v>
      </c>
      <c r="F77" t="s">
        <v>45</v>
      </c>
      <c r="G77" t="s">
        <v>28</v>
      </c>
      <c r="H77">
        <v>5148</v>
      </c>
      <c r="I77">
        <v>3856</v>
      </c>
    </row>
    <row r="78" spans="1:9" x14ac:dyDescent="0.35">
      <c r="A78">
        <v>77</v>
      </c>
      <c r="B78" s="4">
        <v>45676</v>
      </c>
      <c r="C78" t="s">
        <v>9</v>
      </c>
      <c r="D78" t="s">
        <v>18</v>
      </c>
      <c r="E78" t="s">
        <v>26</v>
      </c>
      <c r="F78" t="s">
        <v>64</v>
      </c>
      <c r="G78" t="s">
        <v>33</v>
      </c>
      <c r="H78">
        <v>5919</v>
      </c>
      <c r="I78">
        <v>5047</v>
      </c>
    </row>
    <row r="79" spans="1:9" x14ac:dyDescent="0.35">
      <c r="A79">
        <v>78</v>
      </c>
      <c r="B79" s="4">
        <v>45696</v>
      </c>
      <c r="C79" t="s">
        <v>9</v>
      </c>
      <c r="D79" t="s">
        <v>10</v>
      </c>
      <c r="E79" t="s">
        <v>42</v>
      </c>
      <c r="F79" t="s">
        <v>56</v>
      </c>
      <c r="G79" t="s">
        <v>33</v>
      </c>
      <c r="H79">
        <v>12848</v>
      </c>
      <c r="I79">
        <v>10792</v>
      </c>
    </row>
    <row r="80" spans="1:9" x14ac:dyDescent="0.35">
      <c r="A80">
        <v>79</v>
      </c>
      <c r="B80" s="4">
        <v>45663</v>
      </c>
      <c r="C80" t="s">
        <v>37</v>
      </c>
      <c r="D80" t="s">
        <v>10</v>
      </c>
      <c r="E80" t="s">
        <v>42</v>
      </c>
      <c r="F80" t="s">
        <v>39</v>
      </c>
      <c r="G80" t="s">
        <v>23</v>
      </c>
      <c r="H80">
        <v>12268</v>
      </c>
      <c r="I80">
        <v>8818</v>
      </c>
    </row>
    <row r="81" spans="1:9" x14ac:dyDescent="0.35">
      <c r="A81">
        <v>80</v>
      </c>
      <c r="B81" s="4">
        <v>45705</v>
      </c>
      <c r="C81" t="s">
        <v>37</v>
      </c>
      <c r="D81" t="s">
        <v>18</v>
      </c>
      <c r="E81" t="s">
        <v>29</v>
      </c>
      <c r="F81" t="s">
        <v>40</v>
      </c>
      <c r="G81" t="s">
        <v>23</v>
      </c>
      <c r="H81">
        <v>26582</v>
      </c>
      <c r="I81">
        <v>19041</v>
      </c>
    </row>
    <row r="82" spans="1:9" x14ac:dyDescent="0.35">
      <c r="A82">
        <v>81</v>
      </c>
      <c r="B82" s="4">
        <v>45697</v>
      </c>
      <c r="C82" t="s">
        <v>9</v>
      </c>
      <c r="D82" t="s">
        <v>18</v>
      </c>
      <c r="E82" t="s">
        <v>26</v>
      </c>
      <c r="F82" t="s">
        <v>27</v>
      </c>
      <c r="G82" t="s">
        <v>33</v>
      </c>
      <c r="H82">
        <v>16473</v>
      </c>
      <c r="I82">
        <v>14646</v>
      </c>
    </row>
    <row r="83" spans="1:9" x14ac:dyDescent="0.35">
      <c r="A83">
        <v>82</v>
      </c>
      <c r="B83" s="4">
        <v>45680</v>
      </c>
      <c r="C83" t="s">
        <v>17</v>
      </c>
      <c r="D83" t="s">
        <v>18</v>
      </c>
      <c r="E83" t="s">
        <v>19</v>
      </c>
      <c r="F83" t="s">
        <v>53</v>
      </c>
      <c r="G83" t="s">
        <v>23</v>
      </c>
      <c r="H83">
        <v>25437</v>
      </c>
      <c r="I83">
        <v>18625</v>
      </c>
    </row>
    <row r="84" spans="1:9" x14ac:dyDescent="0.35">
      <c r="A84">
        <v>83</v>
      </c>
      <c r="B84" s="4">
        <v>45687</v>
      </c>
      <c r="C84" t="s">
        <v>14</v>
      </c>
      <c r="D84" t="s">
        <v>18</v>
      </c>
      <c r="E84" t="s">
        <v>32</v>
      </c>
      <c r="F84" t="s">
        <v>65</v>
      </c>
      <c r="G84" t="s">
        <v>13</v>
      </c>
      <c r="H84">
        <v>6512</v>
      </c>
      <c r="I84">
        <v>4039</v>
      </c>
    </row>
    <row r="85" spans="1:9" x14ac:dyDescent="0.35">
      <c r="A85">
        <v>84</v>
      </c>
      <c r="B85" s="4">
        <v>45688</v>
      </c>
      <c r="C85" t="s">
        <v>17</v>
      </c>
      <c r="D85" t="s">
        <v>18</v>
      </c>
      <c r="E85" t="s">
        <v>26</v>
      </c>
      <c r="F85" t="s">
        <v>38</v>
      </c>
      <c r="G85" t="s">
        <v>35</v>
      </c>
      <c r="H85">
        <v>13717</v>
      </c>
      <c r="I85">
        <v>9719</v>
      </c>
    </row>
    <row r="86" spans="1:9" x14ac:dyDescent="0.35">
      <c r="A86">
        <v>85</v>
      </c>
      <c r="B86" s="4">
        <v>45683</v>
      </c>
      <c r="C86" t="s">
        <v>9</v>
      </c>
      <c r="D86" t="s">
        <v>10</v>
      </c>
      <c r="E86" t="s">
        <v>11</v>
      </c>
      <c r="F86" t="s">
        <v>34</v>
      </c>
      <c r="G86" t="s">
        <v>35</v>
      </c>
      <c r="H86">
        <v>16696</v>
      </c>
      <c r="I86">
        <v>12537</v>
      </c>
    </row>
    <row r="87" spans="1:9" x14ac:dyDescent="0.35">
      <c r="A87">
        <v>86</v>
      </c>
      <c r="B87" s="4">
        <v>45700</v>
      </c>
      <c r="C87" t="s">
        <v>9</v>
      </c>
      <c r="D87" t="s">
        <v>18</v>
      </c>
      <c r="E87" t="s">
        <v>32</v>
      </c>
      <c r="F87" t="s">
        <v>49</v>
      </c>
      <c r="G87" t="s">
        <v>13</v>
      </c>
      <c r="H87">
        <v>16152</v>
      </c>
      <c r="I87">
        <v>13688</v>
      </c>
    </row>
    <row r="88" spans="1:9" x14ac:dyDescent="0.35">
      <c r="A88">
        <v>87</v>
      </c>
      <c r="B88" s="4">
        <v>45705</v>
      </c>
      <c r="C88" t="s">
        <v>9</v>
      </c>
      <c r="D88" t="s">
        <v>18</v>
      </c>
      <c r="E88" t="s">
        <v>32</v>
      </c>
      <c r="F88" t="s">
        <v>50</v>
      </c>
      <c r="G88" t="s">
        <v>35</v>
      </c>
      <c r="H88">
        <v>23879</v>
      </c>
      <c r="I88">
        <v>16308</v>
      </c>
    </row>
    <row r="89" spans="1:9" x14ac:dyDescent="0.35">
      <c r="A89">
        <v>88</v>
      </c>
      <c r="B89" s="4">
        <v>45710</v>
      </c>
      <c r="C89" t="s">
        <v>14</v>
      </c>
      <c r="D89" t="s">
        <v>10</v>
      </c>
      <c r="E89" t="s">
        <v>21</v>
      </c>
      <c r="F89" t="s">
        <v>54</v>
      </c>
      <c r="G89" t="s">
        <v>28</v>
      </c>
      <c r="H89">
        <v>19812</v>
      </c>
      <c r="I89">
        <v>15108</v>
      </c>
    </row>
    <row r="90" spans="1:9" x14ac:dyDescent="0.35">
      <c r="A90">
        <v>89</v>
      </c>
      <c r="B90" s="4">
        <v>45694</v>
      </c>
      <c r="C90" t="s">
        <v>37</v>
      </c>
      <c r="D90" t="s">
        <v>10</v>
      </c>
      <c r="E90" t="s">
        <v>11</v>
      </c>
      <c r="F90" t="s">
        <v>40</v>
      </c>
      <c r="G90" t="s">
        <v>35</v>
      </c>
      <c r="H90">
        <v>28689</v>
      </c>
      <c r="I90">
        <v>23198</v>
      </c>
    </row>
    <row r="91" spans="1:9" x14ac:dyDescent="0.35">
      <c r="A91">
        <v>90</v>
      </c>
      <c r="B91" s="4">
        <v>45717</v>
      </c>
      <c r="C91" t="s">
        <v>17</v>
      </c>
      <c r="D91" t="s">
        <v>10</v>
      </c>
      <c r="E91" t="s">
        <v>42</v>
      </c>
      <c r="F91" t="s">
        <v>66</v>
      </c>
      <c r="G91" t="s">
        <v>13</v>
      </c>
      <c r="H91">
        <v>22720</v>
      </c>
      <c r="I91">
        <v>16964</v>
      </c>
    </row>
    <row r="92" spans="1:9" x14ac:dyDescent="0.35">
      <c r="A92">
        <v>91</v>
      </c>
      <c r="B92" s="4">
        <v>45705</v>
      </c>
      <c r="C92" t="s">
        <v>17</v>
      </c>
      <c r="D92" t="s">
        <v>18</v>
      </c>
      <c r="E92" t="s">
        <v>19</v>
      </c>
      <c r="F92" t="s">
        <v>16</v>
      </c>
      <c r="G92" t="s">
        <v>28</v>
      </c>
      <c r="H92">
        <v>21070</v>
      </c>
      <c r="I92">
        <v>14232</v>
      </c>
    </row>
    <row r="93" spans="1:9" x14ac:dyDescent="0.35">
      <c r="A93">
        <v>92</v>
      </c>
      <c r="B93" s="4">
        <v>45677</v>
      </c>
      <c r="C93" t="s">
        <v>37</v>
      </c>
      <c r="D93" t="s">
        <v>10</v>
      </c>
      <c r="E93" t="s">
        <v>42</v>
      </c>
      <c r="F93" t="s">
        <v>61</v>
      </c>
      <c r="G93" t="s">
        <v>33</v>
      </c>
      <c r="H93">
        <v>5006</v>
      </c>
      <c r="I93">
        <v>3123</v>
      </c>
    </row>
    <row r="94" spans="1:9" x14ac:dyDescent="0.35">
      <c r="A94">
        <v>93</v>
      </c>
      <c r="B94" s="4">
        <v>45715</v>
      </c>
      <c r="C94" t="s">
        <v>17</v>
      </c>
      <c r="D94" t="s">
        <v>10</v>
      </c>
      <c r="E94" t="s">
        <v>11</v>
      </c>
      <c r="F94" t="s">
        <v>67</v>
      </c>
      <c r="G94" t="s">
        <v>33</v>
      </c>
      <c r="H94">
        <v>3008</v>
      </c>
      <c r="I94">
        <v>2561</v>
      </c>
    </row>
    <row r="95" spans="1:9" x14ac:dyDescent="0.35">
      <c r="A95">
        <v>94</v>
      </c>
      <c r="B95" s="4">
        <v>45670</v>
      </c>
      <c r="C95" t="s">
        <v>17</v>
      </c>
      <c r="D95" t="s">
        <v>18</v>
      </c>
      <c r="E95" t="s">
        <v>29</v>
      </c>
      <c r="F95" t="s">
        <v>68</v>
      </c>
      <c r="G95" t="s">
        <v>23</v>
      </c>
      <c r="H95">
        <v>16731</v>
      </c>
      <c r="I95">
        <v>11214</v>
      </c>
    </row>
    <row r="96" spans="1:9" x14ac:dyDescent="0.35">
      <c r="A96">
        <v>95</v>
      </c>
      <c r="B96" s="4">
        <v>45716</v>
      </c>
      <c r="C96" t="s">
        <v>37</v>
      </c>
      <c r="D96" t="s">
        <v>10</v>
      </c>
      <c r="E96" t="s">
        <v>42</v>
      </c>
      <c r="F96" t="s">
        <v>68</v>
      </c>
      <c r="G96" t="s">
        <v>33</v>
      </c>
      <c r="H96">
        <v>25721</v>
      </c>
      <c r="I96">
        <v>20828</v>
      </c>
    </row>
    <row r="97" spans="1:9" x14ac:dyDescent="0.35">
      <c r="A97">
        <v>96</v>
      </c>
      <c r="B97" s="4">
        <v>45685</v>
      </c>
      <c r="C97" t="s">
        <v>17</v>
      </c>
      <c r="D97" t="s">
        <v>18</v>
      </c>
      <c r="E97" t="s">
        <v>26</v>
      </c>
      <c r="F97" t="s">
        <v>44</v>
      </c>
      <c r="G97" t="s">
        <v>33</v>
      </c>
      <c r="H97">
        <v>12746</v>
      </c>
      <c r="I97">
        <v>9105</v>
      </c>
    </row>
    <row r="98" spans="1:9" x14ac:dyDescent="0.35">
      <c r="A98">
        <v>97</v>
      </c>
      <c r="B98" s="4">
        <v>45669</v>
      </c>
      <c r="C98" t="s">
        <v>17</v>
      </c>
      <c r="D98" t="s">
        <v>10</v>
      </c>
      <c r="E98" t="s">
        <v>11</v>
      </c>
      <c r="F98" t="s">
        <v>69</v>
      </c>
      <c r="G98" t="s">
        <v>23</v>
      </c>
      <c r="H98">
        <v>17130</v>
      </c>
      <c r="I98">
        <v>12065</v>
      </c>
    </row>
    <row r="99" spans="1:9" x14ac:dyDescent="0.35">
      <c r="A99">
        <v>98</v>
      </c>
      <c r="B99" s="4">
        <v>45707</v>
      </c>
      <c r="C99" t="s">
        <v>37</v>
      </c>
      <c r="D99" t="s">
        <v>10</v>
      </c>
      <c r="E99" t="s">
        <v>42</v>
      </c>
      <c r="F99" t="s">
        <v>52</v>
      </c>
      <c r="G99" t="s">
        <v>33</v>
      </c>
      <c r="H99">
        <v>19263</v>
      </c>
      <c r="I99">
        <v>13395</v>
      </c>
    </row>
    <row r="100" spans="1:9" x14ac:dyDescent="0.35">
      <c r="A100">
        <v>99</v>
      </c>
      <c r="B100" s="4">
        <v>45710</v>
      </c>
      <c r="C100" t="s">
        <v>37</v>
      </c>
      <c r="D100" t="s">
        <v>18</v>
      </c>
      <c r="E100" t="s">
        <v>32</v>
      </c>
      <c r="F100" t="s">
        <v>70</v>
      </c>
      <c r="G100" t="s">
        <v>28</v>
      </c>
      <c r="H100">
        <v>19662</v>
      </c>
      <c r="I100">
        <v>14327</v>
      </c>
    </row>
    <row r="101" spans="1:9" x14ac:dyDescent="0.35">
      <c r="A101">
        <v>100</v>
      </c>
      <c r="B101" s="4">
        <v>45709</v>
      </c>
      <c r="C101" t="s">
        <v>17</v>
      </c>
      <c r="D101" t="s">
        <v>10</v>
      </c>
      <c r="E101" t="s">
        <v>21</v>
      </c>
      <c r="F101" t="s">
        <v>47</v>
      </c>
      <c r="G101" t="s">
        <v>28</v>
      </c>
      <c r="H101">
        <v>25528</v>
      </c>
      <c r="I101">
        <v>22200</v>
      </c>
    </row>
    <row r="102" spans="1:9" x14ac:dyDescent="0.35">
      <c r="A102">
        <v>101</v>
      </c>
      <c r="B102" s="4">
        <v>45694</v>
      </c>
      <c r="C102" t="s">
        <v>9</v>
      </c>
      <c r="D102" t="s">
        <v>10</v>
      </c>
      <c r="E102" t="s">
        <v>42</v>
      </c>
      <c r="F102" t="s">
        <v>68</v>
      </c>
      <c r="G102" t="s">
        <v>35</v>
      </c>
      <c r="H102">
        <v>5348</v>
      </c>
      <c r="I102">
        <v>3731</v>
      </c>
    </row>
    <row r="103" spans="1:9" x14ac:dyDescent="0.35">
      <c r="A103">
        <v>102</v>
      </c>
      <c r="B103" s="4">
        <v>45716</v>
      </c>
      <c r="C103" t="s">
        <v>37</v>
      </c>
      <c r="D103" t="s">
        <v>18</v>
      </c>
      <c r="E103" t="s">
        <v>32</v>
      </c>
      <c r="F103" t="s">
        <v>51</v>
      </c>
      <c r="G103" t="s">
        <v>35</v>
      </c>
      <c r="H103">
        <v>22285</v>
      </c>
      <c r="I103">
        <v>14394</v>
      </c>
    </row>
    <row r="104" spans="1:9" x14ac:dyDescent="0.35">
      <c r="A104">
        <v>103</v>
      </c>
      <c r="B104" s="4">
        <v>45661</v>
      </c>
      <c r="C104" t="s">
        <v>17</v>
      </c>
      <c r="D104" t="s">
        <v>10</v>
      </c>
      <c r="E104" t="s">
        <v>11</v>
      </c>
      <c r="F104" t="s">
        <v>71</v>
      </c>
      <c r="G104" t="s">
        <v>33</v>
      </c>
      <c r="H104">
        <v>17832</v>
      </c>
      <c r="I104">
        <v>14995</v>
      </c>
    </row>
    <row r="105" spans="1:9" x14ac:dyDescent="0.35">
      <c r="A105">
        <v>104</v>
      </c>
      <c r="B105" s="4">
        <v>45708</v>
      </c>
      <c r="C105" t="s">
        <v>17</v>
      </c>
      <c r="D105" t="s">
        <v>18</v>
      </c>
      <c r="E105" t="s">
        <v>32</v>
      </c>
      <c r="F105" t="s">
        <v>55</v>
      </c>
      <c r="G105" t="s">
        <v>23</v>
      </c>
      <c r="H105">
        <v>18659</v>
      </c>
      <c r="I105">
        <v>11399</v>
      </c>
    </row>
    <row r="106" spans="1:9" x14ac:dyDescent="0.35">
      <c r="A106">
        <v>105</v>
      </c>
      <c r="B106" s="4">
        <v>45680</v>
      </c>
      <c r="C106" t="s">
        <v>17</v>
      </c>
      <c r="D106" t="s">
        <v>10</v>
      </c>
      <c r="E106" t="s">
        <v>15</v>
      </c>
      <c r="F106" t="s">
        <v>36</v>
      </c>
      <c r="G106" t="s">
        <v>23</v>
      </c>
      <c r="H106">
        <v>8814</v>
      </c>
      <c r="I106">
        <v>7395</v>
      </c>
    </row>
    <row r="107" spans="1:9" x14ac:dyDescent="0.35">
      <c r="A107">
        <v>106</v>
      </c>
      <c r="B107" s="4">
        <v>45706</v>
      </c>
      <c r="C107" t="s">
        <v>37</v>
      </c>
      <c r="D107" t="s">
        <v>10</v>
      </c>
      <c r="E107" t="s">
        <v>15</v>
      </c>
      <c r="F107" t="s">
        <v>53</v>
      </c>
      <c r="G107" t="s">
        <v>28</v>
      </c>
      <c r="H107">
        <v>18540</v>
      </c>
      <c r="I107">
        <v>13865</v>
      </c>
    </row>
    <row r="108" spans="1:9" x14ac:dyDescent="0.35">
      <c r="A108">
        <v>107</v>
      </c>
      <c r="B108" s="4">
        <v>45681</v>
      </c>
      <c r="C108" t="s">
        <v>37</v>
      </c>
      <c r="D108" t="s">
        <v>18</v>
      </c>
      <c r="E108" t="s">
        <v>26</v>
      </c>
      <c r="F108" t="s">
        <v>46</v>
      </c>
      <c r="G108" t="s">
        <v>13</v>
      </c>
      <c r="H108">
        <v>11682</v>
      </c>
      <c r="I108">
        <v>7094</v>
      </c>
    </row>
    <row r="109" spans="1:9" x14ac:dyDescent="0.35">
      <c r="A109">
        <v>108</v>
      </c>
      <c r="B109" s="4">
        <v>45679</v>
      </c>
      <c r="C109" t="s">
        <v>14</v>
      </c>
      <c r="D109" t="s">
        <v>18</v>
      </c>
      <c r="E109" t="s">
        <v>19</v>
      </c>
      <c r="F109" t="s">
        <v>40</v>
      </c>
      <c r="G109" t="s">
        <v>13</v>
      </c>
      <c r="H109">
        <v>28130</v>
      </c>
      <c r="I109">
        <v>17510</v>
      </c>
    </row>
    <row r="110" spans="1:9" x14ac:dyDescent="0.35">
      <c r="A110">
        <v>109</v>
      </c>
      <c r="B110" s="4">
        <v>45677</v>
      </c>
      <c r="C110" t="s">
        <v>17</v>
      </c>
      <c r="D110" t="s">
        <v>18</v>
      </c>
      <c r="E110" t="s">
        <v>26</v>
      </c>
      <c r="F110" t="s">
        <v>44</v>
      </c>
      <c r="G110" t="s">
        <v>28</v>
      </c>
      <c r="H110">
        <v>12219</v>
      </c>
      <c r="I110">
        <v>9328</v>
      </c>
    </row>
    <row r="111" spans="1:9" x14ac:dyDescent="0.35">
      <c r="A111">
        <v>110</v>
      </c>
      <c r="B111" s="4">
        <v>45696</v>
      </c>
      <c r="C111" t="s">
        <v>14</v>
      </c>
      <c r="D111" t="s">
        <v>18</v>
      </c>
      <c r="E111" t="s">
        <v>26</v>
      </c>
      <c r="F111" t="s">
        <v>62</v>
      </c>
      <c r="G111" t="s">
        <v>28</v>
      </c>
      <c r="H111">
        <v>13169</v>
      </c>
      <c r="I111">
        <v>8888</v>
      </c>
    </row>
    <row r="112" spans="1:9" x14ac:dyDescent="0.35">
      <c r="A112">
        <v>111</v>
      </c>
      <c r="B112" s="4">
        <v>45699</v>
      </c>
      <c r="C112" t="s">
        <v>37</v>
      </c>
      <c r="D112" t="s">
        <v>10</v>
      </c>
      <c r="E112" t="s">
        <v>15</v>
      </c>
      <c r="F112" t="s">
        <v>31</v>
      </c>
      <c r="G112" t="s">
        <v>33</v>
      </c>
      <c r="H112">
        <v>3614</v>
      </c>
      <c r="I112">
        <v>3028</v>
      </c>
    </row>
    <row r="113" spans="1:9" x14ac:dyDescent="0.35">
      <c r="A113">
        <v>112</v>
      </c>
      <c r="B113" s="4">
        <v>45698</v>
      </c>
      <c r="C113" t="s">
        <v>37</v>
      </c>
      <c r="D113" t="s">
        <v>18</v>
      </c>
      <c r="E113" t="s">
        <v>26</v>
      </c>
      <c r="F113" t="s">
        <v>46</v>
      </c>
      <c r="G113" t="s">
        <v>28</v>
      </c>
      <c r="H113">
        <v>27189</v>
      </c>
      <c r="I113">
        <v>23741</v>
      </c>
    </row>
    <row r="114" spans="1:9" x14ac:dyDescent="0.35">
      <c r="A114">
        <v>113</v>
      </c>
      <c r="B114" s="4">
        <v>45673</v>
      </c>
      <c r="C114" t="s">
        <v>17</v>
      </c>
      <c r="D114" t="s">
        <v>10</v>
      </c>
      <c r="E114" t="s">
        <v>15</v>
      </c>
      <c r="F114" t="s">
        <v>70</v>
      </c>
      <c r="G114" t="s">
        <v>23</v>
      </c>
      <c r="H114">
        <v>10537</v>
      </c>
      <c r="I114">
        <v>8770</v>
      </c>
    </row>
    <row r="115" spans="1:9" x14ac:dyDescent="0.35">
      <c r="A115">
        <v>114</v>
      </c>
      <c r="B115" s="4">
        <v>45673</v>
      </c>
      <c r="C115" t="s">
        <v>9</v>
      </c>
      <c r="D115" t="s">
        <v>18</v>
      </c>
      <c r="E115" t="s">
        <v>26</v>
      </c>
      <c r="F115" t="s">
        <v>68</v>
      </c>
      <c r="G115" t="s">
        <v>13</v>
      </c>
      <c r="H115">
        <v>7848</v>
      </c>
      <c r="I115">
        <v>4969</v>
      </c>
    </row>
    <row r="116" spans="1:9" x14ac:dyDescent="0.35">
      <c r="A116">
        <v>115</v>
      </c>
      <c r="B116" s="4">
        <v>45697</v>
      </c>
      <c r="C116" t="s">
        <v>17</v>
      </c>
      <c r="D116" t="s">
        <v>10</v>
      </c>
      <c r="E116" t="s">
        <v>15</v>
      </c>
      <c r="F116" t="s">
        <v>34</v>
      </c>
      <c r="G116" t="s">
        <v>28</v>
      </c>
      <c r="H116">
        <v>27755</v>
      </c>
      <c r="I116">
        <v>22304</v>
      </c>
    </row>
    <row r="117" spans="1:9" x14ac:dyDescent="0.35">
      <c r="A117">
        <v>116</v>
      </c>
      <c r="B117" s="4">
        <v>45663</v>
      </c>
      <c r="C117" t="s">
        <v>37</v>
      </c>
      <c r="D117" t="s">
        <v>18</v>
      </c>
      <c r="E117" t="s">
        <v>26</v>
      </c>
      <c r="F117" t="s">
        <v>53</v>
      </c>
      <c r="G117" t="s">
        <v>35</v>
      </c>
      <c r="H117">
        <v>4181</v>
      </c>
      <c r="I117">
        <v>2556</v>
      </c>
    </row>
    <row r="118" spans="1:9" x14ac:dyDescent="0.35">
      <c r="A118">
        <v>117</v>
      </c>
      <c r="B118" s="4">
        <v>45695</v>
      </c>
      <c r="C118" t="s">
        <v>9</v>
      </c>
      <c r="D118" t="s">
        <v>10</v>
      </c>
      <c r="E118" t="s">
        <v>21</v>
      </c>
      <c r="F118" t="s">
        <v>31</v>
      </c>
      <c r="G118" t="s">
        <v>28</v>
      </c>
      <c r="H118">
        <v>8389</v>
      </c>
      <c r="I118">
        <v>6532</v>
      </c>
    </row>
    <row r="119" spans="1:9" x14ac:dyDescent="0.35">
      <c r="A119">
        <v>118</v>
      </c>
      <c r="B119" s="4">
        <v>45711</v>
      </c>
      <c r="C119" t="s">
        <v>14</v>
      </c>
      <c r="D119" t="s">
        <v>10</v>
      </c>
      <c r="E119" t="s">
        <v>21</v>
      </c>
      <c r="F119" t="s">
        <v>24</v>
      </c>
      <c r="G119" t="s">
        <v>23</v>
      </c>
      <c r="H119">
        <v>5296</v>
      </c>
      <c r="I119">
        <v>4380</v>
      </c>
    </row>
    <row r="120" spans="1:9" x14ac:dyDescent="0.35">
      <c r="A120">
        <v>119</v>
      </c>
      <c r="B120" s="4">
        <v>45681</v>
      </c>
      <c r="C120" t="s">
        <v>14</v>
      </c>
      <c r="D120" t="s">
        <v>18</v>
      </c>
      <c r="E120" t="s">
        <v>19</v>
      </c>
      <c r="F120" t="s">
        <v>60</v>
      </c>
      <c r="G120" t="s">
        <v>13</v>
      </c>
      <c r="H120">
        <v>23944</v>
      </c>
      <c r="I120">
        <v>15560</v>
      </c>
    </row>
    <row r="121" spans="1:9" x14ac:dyDescent="0.35">
      <c r="A121">
        <v>120</v>
      </c>
      <c r="B121" s="4">
        <v>45685</v>
      </c>
      <c r="C121" t="s">
        <v>37</v>
      </c>
      <c r="D121" t="s">
        <v>18</v>
      </c>
      <c r="E121" t="s">
        <v>19</v>
      </c>
      <c r="F121" t="s">
        <v>63</v>
      </c>
      <c r="G121" t="s">
        <v>23</v>
      </c>
      <c r="H121">
        <v>18898</v>
      </c>
      <c r="I121">
        <v>13265</v>
      </c>
    </row>
    <row r="122" spans="1:9" x14ac:dyDescent="0.35">
      <c r="A122">
        <v>121</v>
      </c>
      <c r="B122" s="4">
        <v>45683</v>
      </c>
      <c r="C122" t="s">
        <v>9</v>
      </c>
      <c r="D122" t="s">
        <v>10</v>
      </c>
      <c r="E122" t="s">
        <v>11</v>
      </c>
      <c r="F122" t="s">
        <v>41</v>
      </c>
      <c r="G122" t="s">
        <v>35</v>
      </c>
      <c r="H122">
        <v>13655</v>
      </c>
      <c r="I122">
        <v>11129</v>
      </c>
    </row>
    <row r="123" spans="1:9" x14ac:dyDescent="0.35">
      <c r="A123">
        <v>122</v>
      </c>
      <c r="B123" s="4">
        <v>45697</v>
      </c>
      <c r="C123" t="s">
        <v>37</v>
      </c>
      <c r="D123" t="s">
        <v>18</v>
      </c>
      <c r="E123" t="s">
        <v>19</v>
      </c>
      <c r="F123" t="s">
        <v>12</v>
      </c>
      <c r="G123" t="s">
        <v>35</v>
      </c>
      <c r="H123">
        <v>27432</v>
      </c>
      <c r="I123">
        <v>21904</v>
      </c>
    </row>
    <row r="124" spans="1:9" x14ac:dyDescent="0.35">
      <c r="A124">
        <v>123</v>
      </c>
      <c r="B124" s="4">
        <v>45702</v>
      </c>
      <c r="C124" t="s">
        <v>14</v>
      </c>
      <c r="D124" t="s">
        <v>18</v>
      </c>
      <c r="E124" t="s">
        <v>32</v>
      </c>
      <c r="F124" t="s">
        <v>41</v>
      </c>
      <c r="G124" t="s">
        <v>23</v>
      </c>
      <c r="H124">
        <v>22740</v>
      </c>
      <c r="I124">
        <v>15119</v>
      </c>
    </row>
    <row r="125" spans="1:9" x14ac:dyDescent="0.35">
      <c r="A125">
        <v>124</v>
      </c>
      <c r="B125" s="4">
        <v>45710</v>
      </c>
      <c r="C125" t="s">
        <v>9</v>
      </c>
      <c r="D125" t="s">
        <v>10</v>
      </c>
      <c r="E125" t="s">
        <v>21</v>
      </c>
      <c r="F125" t="s">
        <v>61</v>
      </c>
      <c r="G125" t="s">
        <v>28</v>
      </c>
      <c r="H125">
        <v>20494</v>
      </c>
      <c r="I125">
        <v>13939</v>
      </c>
    </row>
    <row r="126" spans="1:9" x14ac:dyDescent="0.35">
      <c r="A126">
        <v>125</v>
      </c>
      <c r="B126" s="4">
        <v>45697</v>
      </c>
      <c r="C126" t="s">
        <v>17</v>
      </c>
      <c r="D126" t="s">
        <v>10</v>
      </c>
      <c r="E126" t="s">
        <v>21</v>
      </c>
      <c r="F126" t="s">
        <v>40</v>
      </c>
      <c r="G126" t="s">
        <v>35</v>
      </c>
      <c r="H126">
        <v>4689</v>
      </c>
      <c r="I126">
        <v>3659</v>
      </c>
    </row>
    <row r="127" spans="1:9" x14ac:dyDescent="0.35">
      <c r="A127">
        <v>126</v>
      </c>
      <c r="B127" s="4">
        <v>45693</v>
      </c>
      <c r="C127" t="s">
        <v>37</v>
      </c>
      <c r="D127" t="s">
        <v>10</v>
      </c>
      <c r="E127" t="s">
        <v>21</v>
      </c>
      <c r="F127" t="s">
        <v>55</v>
      </c>
      <c r="G127" t="s">
        <v>35</v>
      </c>
      <c r="H127">
        <v>7805</v>
      </c>
      <c r="I127">
        <v>6809</v>
      </c>
    </row>
    <row r="128" spans="1:9" x14ac:dyDescent="0.35">
      <c r="A128">
        <v>127</v>
      </c>
      <c r="B128" s="4">
        <v>45696</v>
      </c>
      <c r="C128" t="s">
        <v>14</v>
      </c>
      <c r="D128" t="s">
        <v>10</v>
      </c>
      <c r="E128" t="s">
        <v>15</v>
      </c>
      <c r="F128" t="s">
        <v>39</v>
      </c>
      <c r="G128" t="s">
        <v>28</v>
      </c>
      <c r="H128">
        <v>29035</v>
      </c>
      <c r="I128">
        <v>18117</v>
      </c>
    </row>
    <row r="129" spans="1:9" x14ac:dyDescent="0.35">
      <c r="A129">
        <v>128</v>
      </c>
      <c r="B129" s="4">
        <v>45704</v>
      </c>
      <c r="C129" t="s">
        <v>17</v>
      </c>
      <c r="D129" t="s">
        <v>10</v>
      </c>
      <c r="E129" t="s">
        <v>42</v>
      </c>
      <c r="F129" t="s">
        <v>20</v>
      </c>
      <c r="G129" t="s">
        <v>33</v>
      </c>
      <c r="H129">
        <v>28977</v>
      </c>
      <c r="I129">
        <v>20727</v>
      </c>
    </row>
    <row r="130" spans="1:9" x14ac:dyDescent="0.35">
      <c r="A130">
        <v>129</v>
      </c>
      <c r="B130" s="4">
        <v>45700</v>
      </c>
      <c r="C130" t="s">
        <v>14</v>
      </c>
      <c r="D130" t="s">
        <v>18</v>
      </c>
      <c r="E130" t="s">
        <v>32</v>
      </c>
      <c r="F130" t="s">
        <v>53</v>
      </c>
      <c r="G130" t="s">
        <v>23</v>
      </c>
      <c r="H130">
        <v>22701</v>
      </c>
      <c r="I130">
        <v>17830</v>
      </c>
    </row>
    <row r="131" spans="1:9" x14ac:dyDescent="0.35">
      <c r="A131">
        <v>130</v>
      </c>
      <c r="B131" s="4">
        <v>45659</v>
      </c>
      <c r="C131" t="s">
        <v>9</v>
      </c>
      <c r="D131" t="s">
        <v>10</v>
      </c>
      <c r="E131" t="s">
        <v>21</v>
      </c>
      <c r="F131" t="s">
        <v>20</v>
      </c>
      <c r="G131" t="s">
        <v>23</v>
      </c>
      <c r="H131">
        <v>19348</v>
      </c>
      <c r="I131">
        <v>12365</v>
      </c>
    </row>
    <row r="132" spans="1:9" x14ac:dyDescent="0.35">
      <c r="A132">
        <v>131</v>
      </c>
      <c r="B132" s="4">
        <v>45689</v>
      </c>
      <c r="C132" t="s">
        <v>14</v>
      </c>
      <c r="D132" t="s">
        <v>10</v>
      </c>
      <c r="E132" t="s">
        <v>42</v>
      </c>
      <c r="F132" t="s">
        <v>60</v>
      </c>
      <c r="G132" t="s">
        <v>13</v>
      </c>
      <c r="H132">
        <v>17249</v>
      </c>
      <c r="I132">
        <v>15437</v>
      </c>
    </row>
    <row r="133" spans="1:9" x14ac:dyDescent="0.35">
      <c r="A133">
        <v>132</v>
      </c>
      <c r="B133" s="4">
        <v>45699</v>
      </c>
      <c r="C133" t="s">
        <v>17</v>
      </c>
      <c r="D133" t="s">
        <v>10</v>
      </c>
      <c r="E133" t="s">
        <v>21</v>
      </c>
      <c r="F133" t="s">
        <v>49</v>
      </c>
      <c r="G133" t="s">
        <v>13</v>
      </c>
      <c r="H133">
        <v>11825</v>
      </c>
      <c r="I133">
        <v>10476</v>
      </c>
    </row>
    <row r="134" spans="1:9" x14ac:dyDescent="0.35">
      <c r="A134">
        <v>133</v>
      </c>
      <c r="B134" s="4">
        <v>45663</v>
      </c>
      <c r="C134" t="s">
        <v>37</v>
      </c>
      <c r="D134" t="s">
        <v>18</v>
      </c>
      <c r="E134" t="s">
        <v>26</v>
      </c>
      <c r="F134" t="s">
        <v>45</v>
      </c>
      <c r="G134" t="s">
        <v>28</v>
      </c>
      <c r="H134">
        <v>17610</v>
      </c>
      <c r="I134">
        <v>12853</v>
      </c>
    </row>
    <row r="135" spans="1:9" x14ac:dyDescent="0.35">
      <c r="A135">
        <v>134</v>
      </c>
      <c r="B135" s="4">
        <v>45666</v>
      </c>
      <c r="C135" t="s">
        <v>9</v>
      </c>
      <c r="D135" t="s">
        <v>10</v>
      </c>
      <c r="E135" t="s">
        <v>15</v>
      </c>
      <c r="F135" t="s">
        <v>67</v>
      </c>
      <c r="G135" t="s">
        <v>33</v>
      </c>
      <c r="H135">
        <v>13456</v>
      </c>
      <c r="I135">
        <v>8137</v>
      </c>
    </row>
    <row r="136" spans="1:9" x14ac:dyDescent="0.35">
      <c r="A136">
        <v>135</v>
      </c>
      <c r="B136" s="4">
        <v>45689</v>
      </c>
      <c r="C136" t="s">
        <v>9</v>
      </c>
      <c r="D136" t="s">
        <v>10</v>
      </c>
      <c r="E136" t="s">
        <v>21</v>
      </c>
      <c r="F136" t="s">
        <v>50</v>
      </c>
      <c r="G136" t="s">
        <v>23</v>
      </c>
      <c r="H136">
        <v>21343</v>
      </c>
      <c r="I136">
        <v>13101</v>
      </c>
    </row>
    <row r="137" spans="1:9" x14ac:dyDescent="0.35">
      <c r="A137">
        <v>136</v>
      </c>
      <c r="B137" s="4">
        <v>45669</v>
      </c>
      <c r="C137" t="s">
        <v>17</v>
      </c>
      <c r="D137" t="s">
        <v>10</v>
      </c>
      <c r="E137" t="s">
        <v>21</v>
      </c>
      <c r="F137" t="s">
        <v>66</v>
      </c>
      <c r="G137" t="s">
        <v>33</v>
      </c>
      <c r="H137">
        <v>16315</v>
      </c>
      <c r="I137">
        <v>14531</v>
      </c>
    </row>
    <row r="138" spans="1:9" x14ac:dyDescent="0.35">
      <c r="A138">
        <v>137</v>
      </c>
      <c r="B138" s="4">
        <v>45677</v>
      </c>
      <c r="C138" t="s">
        <v>14</v>
      </c>
      <c r="D138" t="s">
        <v>18</v>
      </c>
      <c r="E138" t="s">
        <v>26</v>
      </c>
      <c r="F138" t="s">
        <v>61</v>
      </c>
      <c r="G138" t="s">
        <v>28</v>
      </c>
      <c r="H138">
        <v>21957</v>
      </c>
      <c r="I138">
        <v>13992</v>
      </c>
    </row>
    <row r="139" spans="1:9" x14ac:dyDescent="0.35">
      <c r="A139">
        <v>138</v>
      </c>
      <c r="B139" s="4">
        <v>45695</v>
      </c>
      <c r="C139" t="s">
        <v>17</v>
      </c>
      <c r="D139" t="s">
        <v>10</v>
      </c>
      <c r="E139" t="s">
        <v>42</v>
      </c>
      <c r="F139" t="s">
        <v>38</v>
      </c>
      <c r="G139" t="s">
        <v>28</v>
      </c>
      <c r="H139">
        <v>7509</v>
      </c>
      <c r="I139">
        <v>5216</v>
      </c>
    </row>
    <row r="140" spans="1:9" x14ac:dyDescent="0.35">
      <c r="A140">
        <v>139</v>
      </c>
      <c r="B140" s="4">
        <v>45671</v>
      </c>
      <c r="C140" t="s">
        <v>9</v>
      </c>
      <c r="D140" t="s">
        <v>10</v>
      </c>
      <c r="E140" t="s">
        <v>11</v>
      </c>
      <c r="F140" t="s">
        <v>72</v>
      </c>
      <c r="G140" t="s">
        <v>35</v>
      </c>
      <c r="H140">
        <v>28336</v>
      </c>
      <c r="I140">
        <v>17187</v>
      </c>
    </row>
    <row r="141" spans="1:9" x14ac:dyDescent="0.35">
      <c r="A141">
        <v>140</v>
      </c>
      <c r="B141" s="4">
        <v>45697</v>
      </c>
      <c r="C141" t="s">
        <v>14</v>
      </c>
      <c r="D141" t="s">
        <v>10</v>
      </c>
      <c r="E141" t="s">
        <v>42</v>
      </c>
      <c r="F141" t="s">
        <v>73</v>
      </c>
      <c r="G141" t="s">
        <v>28</v>
      </c>
      <c r="H141">
        <v>7967</v>
      </c>
      <c r="I141">
        <v>6547</v>
      </c>
    </row>
    <row r="142" spans="1:9" x14ac:dyDescent="0.35">
      <c r="A142">
        <v>141</v>
      </c>
      <c r="B142" s="4">
        <v>45714</v>
      </c>
      <c r="C142" t="s">
        <v>9</v>
      </c>
      <c r="D142" t="s">
        <v>18</v>
      </c>
      <c r="E142" t="s">
        <v>32</v>
      </c>
      <c r="F142" t="s">
        <v>30</v>
      </c>
      <c r="G142" t="s">
        <v>33</v>
      </c>
      <c r="H142">
        <v>9266</v>
      </c>
      <c r="I142">
        <v>7251</v>
      </c>
    </row>
    <row r="143" spans="1:9" x14ac:dyDescent="0.35">
      <c r="A143">
        <v>142</v>
      </c>
      <c r="B143" s="4">
        <v>45658</v>
      </c>
      <c r="C143" t="s">
        <v>17</v>
      </c>
      <c r="D143" t="s">
        <v>18</v>
      </c>
      <c r="E143" t="s">
        <v>26</v>
      </c>
      <c r="F143" t="s">
        <v>43</v>
      </c>
      <c r="G143" t="s">
        <v>28</v>
      </c>
      <c r="H143">
        <v>18541</v>
      </c>
      <c r="I143">
        <v>12433</v>
      </c>
    </row>
    <row r="144" spans="1:9" x14ac:dyDescent="0.35">
      <c r="A144">
        <v>143</v>
      </c>
      <c r="B144" s="4">
        <v>45700</v>
      </c>
      <c r="C144" t="s">
        <v>9</v>
      </c>
      <c r="D144" t="s">
        <v>18</v>
      </c>
      <c r="E144" t="s">
        <v>32</v>
      </c>
      <c r="F144" t="s">
        <v>74</v>
      </c>
      <c r="G144" t="s">
        <v>23</v>
      </c>
      <c r="H144">
        <v>12290</v>
      </c>
      <c r="I144">
        <v>8375</v>
      </c>
    </row>
    <row r="145" spans="1:9" x14ac:dyDescent="0.35">
      <c r="A145">
        <v>144</v>
      </c>
      <c r="B145" s="4">
        <v>45666</v>
      </c>
      <c r="C145" t="s">
        <v>14</v>
      </c>
      <c r="D145" t="s">
        <v>10</v>
      </c>
      <c r="E145" t="s">
        <v>15</v>
      </c>
      <c r="F145" t="s">
        <v>57</v>
      </c>
      <c r="G145" t="s">
        <v>23</v>
      </c>
      <c r="H145">
        <v>29811</v>
      </c>
      <c r="I145">
        <v>23913</v>
      </c>
    </row>
    <row r="146" spans="1:9" x14ac:dyDescent="0.35">
      <c r="A146">
        <v>145</v>
      </c>
      <c r="B146" s="4">
        <v>45678</v>
      </c>
      <c r="C146" t="s">
        <v>17</v>
      </c>
      <c r="D146" t="s">
        <v>18</v>
      </c>
      <c r="E146" t="s">
        <v>32</v>
      </c>
      <c r="F146" t="s">
        <v>50</v>
      </c>
      <c r="G146" t="s">
        <v>33</v>
      </c>
      <c r="H146">
        <v>3743</v>
      </c>
      <c r="I146">
        <v>2347</v>
      </c>
    </row>
    <row r="147" spans="1:9" x14ac:dyDescent="0.35">
      <c r="A147">
        <v>146</v>
      </c>
      <c r="B147" s="4">
        <v>45691</v>
      </c>
      <c r="C147" t="s">
        <v>14</v>
      </c>
      <c r="D147" t="s">
        <v>10</v>
      </c>
      <c r="E147" t="s">
        <v>11</v>
      </c>
      <c r="F147" t="s">
        <v>75</v>
      </c>
      <c r="G147" t="s">
        <v>33</v>
      </c>
      <c r="H147">
        <v>12655</v>
      </c>
      <c r="I147">
        <v>10478</v>
      </c>
    </row>
    <row r="148" spans="1:9" x14ac:dyDescent="0.35">
      <c r="A148">
        <v>147</v>
      </c>
      <c r="B148" s="4">
        <v>45665</v>
      </c>
      <c r="C148" t="s">
        <v>9</v>
      </c>
      <c r="D148" t="s">
        <v>18</v>
      </c>
      <c r="E148" t="s">
        <v>26</v>
      </c>
      <c r="F148" t="s">
        <v>53</v>
      </c>
      <c r="G148" t="s">
        <v>23</v>
      </c>
      <c r="H148">
        <v>19492</v>
      </c>
      <c r="I148">
        <v>15052</v>
      </c>
    </row>
    <row r="149" spans="1:9" x14ac:dyDescent="0.35">
      <c r="A149">
        <v>148</v>
      </c>
      <c r="B149" s="4">
        <v>45686</v>
      </c>
      <c r="C149" t="s">
        <v>9</v>
      </c>
      <c r="D149" t="s">
        <v>18</v>
      </c>
      <c r="E149" t="s">
        <v>19</v>
      </c>
      <c r="F149" t="s">
        <v>76</v>
      </c>
      <c r="G149" t="s">
        <v>23</v>
      </c>
      <c r="H149">
        <v>23823</v>
      </c>
      <c r="I149">
        <v>15138</v>
      </c>
    </row>
    <row r="150" spans="1:9" x14ac:dyDescent="0.35">
      <c r="A150">
        <v>149</v>
      </c>
      <c r="B150" s="4">
        <v>45663</v>
      </c>
      <c r="C150" t="s">
        <v>37</v>
      </c>
      <c r="D150" t="s">
        <v>18</v>
      </c>
      <c r="E150" t="s">
        <v>32</v>
      </c>
      <c r="F150" t="s">
        <v>65</v>
      </c>
      <c r="G150" t="s">
        <v>13</v>
      </c>
      <c r="H150">
        <v>12233</v>
      </c>
      <c r="I150">
        <v>8248</v>
      </c>
    </row>
    <row r="151" spans="1:9" x14ac:dyDescent="0.35">
      <c r="A151">
        <v>150</v>
      </c>
      <c r="B151" s="4">
        <v>45699</v>
      </c>
      <c r="C151" t="s">
        <v>17</v>
      </c>
      <c r="D151" t="s">
        <v>10</v>
      </c>
      <c r="E151" t="s">
        <v>42</v>
      </c>
      <c r="F151" t="s">
        <v>58</v>
      </c>
      <c r="G151" t="s">
        <v>28</v>
      </c>
      <c r="H151">
        <v>3003</v>
      </c>
      <c r="I151">
        <v>2190</v>
      </c>
    </row>
    <row r="152" spans="1:9" x14ac:dyDescent="0.35">
      <c r="A152">
        <v>151</v>
      </c>
      <c r="B152" s="4">
        <v>45680</v>
      </c>
      <c r="C152" t="s">
        <v>37</v>
      </c>
      <c r="D152" t="s">
        <v>18</v>
      </c>
      <c r="E152" t="s">
        <v>26</v>
      </c>
      <c r="F152" t="s">
        <v>44</v>
      </c>
      <c r="G152" t="s">
        <v>13</v>
      </c>
      <c r="H152">
        <v>21525</v>
      </c>
      <c r="I152">
        <v>15170</v>
      </c>
    </row>
    <row r="153" spans="1:9" x14ac:dyDescent="0.35">
      <c r="A153">
        <v>152</v>
      </c>
      <c r="B153" s="4">
        <v>45685</v>
      </c>
      <c r="C153" t="s">
        <v>9</v>
      </c>
      <c r="D153" t="s">
        <v>10</v>
      </c>
      <c r="E153" t="s">
        <v>11</v>
      </c>
      <c r="F153" t="s">
        <v>12</v>
      </c>
      <c r="G153" t="s">
        <v>35</v>
      </c>
      <c r="H153">
        <v>21312</v>
      </c>
      <c r="I153">
        <v>18369</v>
      </c>
    </row>
    <row r="154" spans="1:9" x14ac:dyDescent="0.35">
      <c r="A154">
        <v>153</v>
      </c>
      <c r="B154" s="4">
        <v>45663</v>
      </c>
      <c r="C154" t="s">
        <v>9</v>
      </c>
      <c r="D154" t="s">
        <v>18</v>
      </c>
      <c r="E154" t="s">
        <v>29</v>
      </c>
      <c r="F154" t="s">
        <v>75</v>
      </c>
      <c r="G154" t="s">
        <v>35</v>
      </c>
      <c r="H154">
        <v>8413</v>
      </c>
      <c r="I154">
        <v>6580</v>
      </c>
    </row>
    <row r="155" spans="1:9" x14ac:dyDescent="0.35">
      <c r="A155">
        <v>154</v>
      </c>
      <c r="B155" s="4">
        <v>45662</v>
      </c>
      <c r="C155" t="s">
        <v>17</v>
      </c>
      <c r="D155" t="s">
        <v>10</v>
      </c>
      <c r="E155" t="s">
        <v>21</v>
      </c>
      <c r="F155" t="s">
        <v>20</v>
      </c>
      <c r="G155" t="s">
        <v>33</v>
      </c>
      <c r="H155">
        <v>4693</v>
      </c>
      <c r="I155">
        <v>3566</v>
      </c>
    </row>
    <row r="156" spans="1:9" x14ac:dyDescent="0.35">
      <c r="A156">
        <v>155</v>
      </c>
      <c r="B156" s="4">
        <v>45677</v>
      </c>
      <c r="C156" t="s">
        <v>9</v>
      </c>
      <c r="D156" t="s">
        <v>18</v>
      </c>
      <c r="E156" t="s">
        <v>32</v>
      </c>
      <c r="F156" t="s">
        <v>24</v>
      </c>
      <c r="G156" t="s">
        <v>35</v>
      </c>
      <c r="H156">
        <v>24941</v>
      </c>
      <c r="I156">
        <v>19960</v>
      </c>
    </row>
    <row r="157" spans="1:9" x14ac:dyDescent="0.35">
      <c r="A157">
        <v>156</v>
      </c>
      <c r="B157" s="4">
        <v>45713</v>
      </c>
      <c r="C157" t="s">
        <v>9</v>
      </c>
      <c r="D157" t="s">
        <v>18</v>
      </c>
      <c r="E157" t="s">
        <v>19</v>
      </c>
      <c r="F157" t="s">
        <v>31</v>
      </c>
      <c r="G157" t="s">
        <v>33</v>
      </c>
      <c r="H157">
        <v>22511</v>
      </c>
      <c r="I157">
        <v>16616</v>
      </c>
    </row>
    <row r="158" spans="1:9" x14ac:dyDescent="0.35">
      <c r="A158">
        <v>157</v>
      </c>
      <c r="B158" s="4">
        <v>45672</v>
      </c>
      <c r="C158" t="s">
        <v>17</v>
      </c>
      <c r="D158" t="s">
        <v>10</v>
      </c>
      <c r="E158" t="s">
        <v>42</v>
      </c>
      <c r="F158" t="s">
        <v>38</v>
      </c>
      <c r="G158" t="s">
        <v>35</v>
      </c>
      <c r="H158">
        <v>13946</v>
      </c>
      <c r="I158">
        <v>12354</v>
      </c>
    </row>
    <row r="159" spans="1:9" x14ac:dyDescent="0.35">
      <c r="A159">
        <v>158</v>
      </c>
      <c r="B159" s="4">
        <v>45672</v>
      </c>
      <c r="C159" t="s">
        <v>9</v>
      </c>
      <c r="D159" t="s">
        <v>10</v>
      </c>
      <c r="E159" t="s">
        <v>21</v>
      </c>
      <c r="F159" t="s">
        <v>63</v>
      </c>
      <c r="G159" t="s">
        <v>23</v>
      </c>
      <c r="H159">
        <v>21242</v>
      </c>
      <c r="I159">
        <v>14098</v>
      </c>
    </row>
    <row r="160" spans="1:9" x14ac:dyDescent="0.35">
      <c r="A160">
        <v>159</v>
      </c>
      <c r="B160" s="4">
        <v>45697</v>
      </c>
      <c r="C160" t="s">
        <v>9</v>
      </c>
      <c r="D160" t="s">
        <v>18</v>
      </c>
      <c r="E160" t="s">
        <v>32</v>
      </c>
      <c r="F160" t="s">
        <v>31</v>
      </c>
      <c r="G160" t="s">
        <v>28</v>
      </c>
      <c r="H160">
        <v>22822</v>
      </c>
      <c r="I160">
        <v>18664</v>
      </c>
    </row>
    <row r="161" spans="1:9" x14ac:dyDescent="0.35">
      <c r="A161">
        <v>160</v>
      </c>
      <c r="B161" s="4">
        <v>45679</v>
      </c>
      <c r="C161" t="s">
        <v>14</v>
      </c>
      <c r="D161" t="s">
        <v>10</v>
      </c>
      <c r="E161" t="s">
        <v>11</v>
      </c>
      <c r="F161" t="s">
        <v>64</v>
      </c>
      <c r="G161" t="s">
        <v>23</v>
      </c>
      <c r="H161">
        <v>14825</v>
      </c>
      <c r="I161">
        <v>10070</v>
      </c>
    </row>
    <row r="162" spans="1:9" x14ac:dyDescent="0.35">
      <c r="A162">
        <v>161</v>
      </c>
      <c r="B162" s="4">
        <v>45666</v>
      </c>
      <c r="C162" t="s">
        <v>9</v>
      </c>
      <c r="D162" t="s">
        <v>18</v>
      </c>
      <c r="E162" t="s">
        <v>29</v>
      </c>
      <c r="F162" t="s">
        <v>22</v>
      </c>
      <c r="G162" t="s">
        <v>28</v>
      </c>
      <c r="H162">
        <v>10106</v>
      </c>
      <c r="I162">
        <v>9039</v>
      </c>
    </row>
    <row r="163" spans="1:9" x14ac:dyDescent="0.35">
      <c r="A163">
        <v>162</v>
      </c>
      <c r="B163" s="4">
        <v>45666</v>
      </c>
      <c r="C163" t="s">
        <v>17</v>
      </c>
      <c r="D163" t="s">
        <v>18</v>
      </c>
      <c r="E163" t="s">
        <v>29</v>
      </c>
      <c r="F163" t="s">
        <v>30</v>
      </c>
      <c r="G163" t="s">
        <v>33</v>
      </c>
      <c r="H163">
        <v>24181</v>
      </c>
      <c r="I163">
        <v>17254</v>
      </c>
    </row>
    <row r="164" spans="1:9" x14ac:dyDescent="0.35">
      <c r="A164">
        <v>163</v>
      </c>
      <c r="B164" s="4">
        <v>45691</v>
      </c>
      <c r="C164" t="s">
        <v>37</v>
      </c>
      <c r="D164" t="s">
        <v>10</v>
      </c>
      <c r="E164" t="s">
        <v>11</v>
      </c>
      <c r="F164" t="s">
        <v>73</v>
      </c>
      <c r="G164" t="s">
        <v>23</v>
      </c>
      <c r="H164">
        <v>8789</v>
      </c>
      <c r="I164">
        <v>6768</v>
      </c>
    </row>
    <row r="165" spans="1:9" x14ac:dyDescent="0.35">
      <c r="A165">
        <v>164</v>
      </c>
      <c r="B165" s="4">
        <v>45658</v>
      </c>
      <c r="C165" t="s">
        <v>17</v>
      </c>
      <c r="D165" t="s">
        <v>10</v>
      </c>
      <c r="E165" t="s">
        <v>42</v>
      </c>
      <c r="F165" t="s">
        <v>56</v>
      </c>
      <c r="G165" t="s">
        <v>23</v>
      </c>
      <c r="H165">
        <v>17609</v>
      </c>
      <c r="I165">
        <v>13022</v>
      </c>
    </row>
    <row r="166" spans="1:9" x14ac:dyDescent="0.35">
      <c r="A166">
        <v>165</v>
      </c>
      <c r="B166" s="4">
        <v>45712</v>
      </c>
      <c r="C166" t="s">
        <v>9</v>
      </c>
      <c r="D166" t="s">
        <v>10</v>
      </c>
      <c r="E166" t="s">
        <v>42</v>
      </c>
      <c r="F166" t="s">
        <v>72</v>
      </c>
      <c r="G166" t="s">
        <v>23</v>
      </c>
      <c r="H166">
        <v>12827</v>
      </c>
      <c r="I166">
        <v>10421</v>
      </c>
    </row>
    <row r="167" spans="1:9" x14ac:dyDescent="0.35">
      <c r="A167">
        <v>166</v>
      </c>
      <c r="B167" s="4">
        <v>45658</v>
      </c>
      <c r="C167" t="s">
        <v>37</v>
      </c>
      <c r="D167" t="s">
        <v>10</v>
      </c>
      <c r="E167" t="s">
        <v>11</v>
      </c>
      <c r="F167" t="s">
        <v>41</v>
      </c>
      <c r="G167" t="s">
        <v>13</v>
      </c>
      <c r="H167">
        <v>7741</v>
      </c>
      <c r="I167">
        <v>6783</v>
      </c>
    </row>
    <row r="168" spans="1:9" x14ac:dyDescent="0.35">
      <c r="A168">
        <v>167</v>
      </c>
      <c r="B168" s="4">
        <v>45662</v>
      </c>
      <c r="C168" t="s">
        <v>37</v>
      </c>
      <c r="D168" t="s">
        <v>18</v>
      </c>
      <c r="E168" t="s">
        <v>29</v>
      </c>
      <c r="F168" t="s">
        <v>45</v>
      </c>
      <c r="G168" t="s">
        <v>23</v>
      </c>
      <c r="H168">
        <v>27959</v>
      </c>
      <c r="I168">
        <v>23794</v>
      </c>
    </row>
    <row r="169" spans="1:9" x14ac:dyDescent="0.35">
      <c r="A169">
        <v>168</v>
      </c>
      <c r="B169" s="4">
        <v>45701</v>
      </c>
      <c r="C169" t="s">
        <v>9</v>
      </c>
      <c r="D169" t="s">
        <v>10</v>
      </c>
      <c r="E169" t="s">
        <v>15</v>
      </c>
      <c r="F169" t="s">
        <v>73</v>
      </c>
      <c r="G169" t="s">
        <v>13</v>
      </c>
      <c r="H169">
        <v>9260</v>
      </c>
      <c r="I169">
        <v>8117</v>
      </c>
    </row>
    <row r="170" spans="1:9" x14ac:dyDescent="0.35">
      <c r="A170">
        <v>169</v>
      </c>
      <c r="B170" s="4">
        <v>45701</v>
      </c>
      <c r="C170" t="s">
        <v>37</v>
      </c>
      <c r="D170" t="s">
        <v>18</v>
      </c>
      <c r="E170" t="s">
        <v>32</v>
      </c>
      <c r="F170" t="s">
        <v>59</v>
      </c>
      <c r="G170" t="s">
        <v>13</v>
      </c>
      <c r="H170">
        <v>23426</v>
      </c>
      <c r="I170">
        <v>18470</v>
      </c>
    </row>
    <row r="171" spans="1:9" x14ac:dyDescent="0.35">
      <c r="A171">
        <v>170</v>
      </c>
      <c r="B171" s="4">
        <v>45707</v>
      </c>
      <c r="C171" t="s">
        <v>17</v>
      </c>
      <c r="D171" t="s">
        <v>10</v>
      </c>
      <c r="E171" t="s">
        <v>11</v>
      </c>
      <c r="F171" t="s">
        <v>69</v>
      </c>
      <c r="G171" t="s">
        <v>28</v>
      </c>
      <c r="H171">
        <v>9672</v>
      </c>
      <c r="I171">
        <v>7495</v>
      </c>
    </row>
    <row r="172" spans="1:9" x14ac:dyDescent="0.35">
      <c r="A172">
        <v>171</v>
      </c>
      <c r="B172" s="4">
        <v>45671</v>
      </c>
      <c r="C172" t="s">
        <v>14</v>
      </c>
      <c r="D172" t="s">
        <v>10</v>
      </c>
      <c r="E172" t="s">
        <v>42</v>
      </c>
      <c r="F172" t="s">
        <v>67</v>
      </c>
      <c r="G172" t="s">
        <v>35</v>
      </c>
      <c r="H172">
        <v>15655</v>
      </c>
      <c r="I172">
        <v>12741</v>
      </c>
    </row>
    <row r="173" spans="1:9" x14ac:dyDescent="0.35">
      <c r="A173">
        <v>172</v>
      </c>
      <c r="B173" s="4">
        <v>45694</v>
      </c>
      <c r="C173" t="s">
        <v>14</v>
      </c>
      <c r="D173" t="s">
        <v>10</v>
      </c>
      <c r="E173" t="s">
        <v>21</v>
      </c>
      <c r="F173" t="s">
        <v>30</v>
      </c>
      <c r="G173" t="s">
        <v>33</v>
      </c>
      <c r="H173">
        <v>4896</v>
      </c>
      <c r="I173">
        <v>3209</v>
      </c>
    </row>
    <row r="174" spans="1:9" x14ac:dyDescent="0.35">
      <c r="A174">
        <v>173</v>
      </c>
      <c r="B174" s="4">
        <v>45681</v>
      </c>
      <c r="C174" t="s">
        <v>17</v>
      </c>
      <c r="D174" t="s">
        <v>10</v>
      </c>
      <c r="E174" t="s">
        <v>15</v>
      </c>
      <c r="F174" t="s">
        <v>77</v>
      </c>
      <c r="G174" t="s">
        <v>13</v>
      </c>
      <c r="H174">
        <v>26624</v>
      </c>
      <c r="I174">
        <v>22645</v>
      </c>
    </row>
    <row r="175" spans="1:9" x14ac:dyDescent="0.35">
      <c r="A175">
        <v>174</v>
      </c>
      <c r="B175" s="4">
        <v>45663</v>
      </c>
      <c r="C175" t="s">
        <v>9</v>
      </c>
      <c r="D175" t="s">
        <v>10</v>
      </c>
      <c r="E175" t="s">
        <v>11</v>
      </c>
      <c r="F175" t="s">
        <v>50</v>
      </c>
      <c r="G175" t="s">
        <v>28</v>
      </c>
      <c r="H175">
        <v>12390</v>
      </c>
      <c r="I175">
        <v>7893</v>
      </c>
    </row>
    <row r="176" spans="1:9" x14ac:dyDescent="0.35">
      <c r="A176">
        <v>175</v>
      </c>
      <c r="B176" s="4">
        <v>45666</v>
      </c>
      <c r="C176" t="s">
        <v>37</v>
      </c>
      <c r="D176" t="s">
        <v>18</v>
      </c>
      <c r="E176" t="s">
        <v>32</v>
      </c>
      <c r="F176" t="s">
        <v>41</v>
      </c>
      <c r="G176" t="s">
        <v>23</v>
      </c>
      <c r="H176">
        <v>16540</v>
      </c>
      <c r="I176">
        <v>13760</v>
      </c>
    </row>
    <row r="177" spans="1:9" x14ac:dyDescent="0.35">
      <c r="A177">
        <v>176</v>
      </c>
      <c r="B177" s="4">
        <v>45663</v>
      </c>
      <c r="C177" t="s">
        <v>9</v>
      </c>
      <c r="D177" t="s">
        <v>10</v>
      </c>
      <c r="E177" t="s">
        <v>42</v>
      </c>
      <c r="F177" t="s">
        <v>22</v>
      </c>
      <c r="G177" t="s">
        <v>13</v>
      </c>
      <c r="H177">
        <v>10981</v>
      </c>
      <c r="I177">
        <v>7782</v>
      </c>
    </row>
    <row r="178" spans="1:9" x14ac:dyDescent="0.35">
      <c r="A178">
        <v>177</v>
      </c>
      <c r="B178" s="4">
        <v>45702</v>
      </c>
      <c r="C178" t="s">
        <v>37</v>
      </c>
      <c r="D178" t="s">
        <v>10</v>
      </c>
      <c r="E178" t="s">
        <v>21</v>
      </c>
      <c r="F178" t="s">
        <v>57</v>
      </c>
      <c r="G178" t="s">
        <v>13</v>
      </c>
      <c r="H178">
        <v>11754</v>
      </c>
      <c r="I178">
        <v>8066</v>
      </c>
    </row>
    <row r="179" spans="1:9" x14ac:dyDescent="0.35">
      <c r="A179">
        <v>178</v>
      </c>
      <c r="B179" s="4">
        <v>45704</v>
      </c>
      <c r="C179" t="s">
        <v>37</v>
      </c>
      <c r="D179" t="s">
        <v>10</v>
      </c>
      <c r="E179" t="s">
        <v>21</v>
      </c>
      <c r="F179" t="s">
        <v>30</v>
      </c>
      <c r="G179" t="s">
        <v>28</v>
      </c>
      <c r="H179">
        <v>19787</v>
      </c>
      <c r="I179">
        <v>16448</v>
      </c>
    </row>
    <row r="180" spans="1:9" x14ac:dyDescent="0.35">
      <c r="A180">
        <v>179</v>
      </c>
      <c r="B180" s="4">
        <v>45662</v>
      </c>
      <c r="C180" t="s">
        <v>14</v>
      </c>
      <c r="D180" t="s">
        <v>10</v>
      </c>
      <c r="E180" t="s">
        <v>42</v>
      </c>
      <c r="F180" t="s">
        <v>38</v>
      </c>
      <c r="G180" t="s">
        <v>28</v>
      </c>
      <c r="H180">
        <v>7183</v>
      </c>
      <c r="I180">
        <v>6189</v>
      </c>
    </row>
    <row r="181" spans="1:9" x14ac:dyDescent="0.35">
      <c r="A181">
        <v>180</v>
      </c>
      <c r="B181" s="4">
        <v>45701</v>
      </c>
      <c r="C181" t="s">
        <v>14</v>
      </c>
      <c r="D181" t="s">
        <v>10</v>
      </c>
      <c r="E181" t="s">
        <v>15</v>
      </c>
      <c r="F181" t="s">
        <v>59</v>
      </c>
      <c r="G181" t="s">
        <v>35</v>
      </c>
      <c r="H181">
        <v>9341</v>
      </c>
      <c r="I181">
        <v>8029</v>
      </c>
    </row>
    <row r="182" spans="1:9" x14ac:dyDescent="0.35">
      <c r="A182">
        <v>181</v>
      </c>
      <c r="B182" s="4">
        <v>45671</v>
      </c>
      <c r="C182" t="s">
        <v>17</v>
      </c>
      <c r="D182" t="s">
        <v>10</v>
      </c>
      <c r="E182" t="s">
        <v>21</v>
      </c>
      <c r="F182" t="s">
        <v>71</v>
      </c>
      <c r="G182" t="s">
        <v>28</v>
      </c>
      <c r="H182">
        <v>17968</v>
      </c>
      <c r="I182">
        <v>13010</v>
      </c>
    </row>
    <row r="183" spans="1:9" x14ac:dyDescent="0.35">
      <c r="A183">
        <v>182</v>
      </c>
      <c r="B183" s="4">
        <v>45680</v>
      </c>
      <c r="C183" t="s">
        <v>37</v>
      </c>
      <c r="D183" t="s">
        <v>18</v>
      </c>
      <c r="E183" t="s">
        <v>26</v>
      </c>
      <c r="F183" t="s">
        <v>71</v>
      </c>
      <c r="G183" t="s">
        <v>13</v>
      </c>
      <c r="H183">
        <v>13825</v>
      </c>
      <c r="I183">
        <v>8726</v>
      </c>
    </row>
    <row r="184" spans="1:9" x14ac:dyDescent="0.35">
      <c r="A184">
        <v>183</v>
      </c>
      <c r="B184" s="4">
        <v>45669</v>
      </c>
      <c r="C184" t="s">
        <v>14</v>
      </c>
      <c r="D184" t="s">
        <v>10</v>
      </c>
      <c r="E184" t="s">
        <v>42</v>
      </c>
      <c r="F184" t="s">
        <v>53</v>
      </c>
      <c r="G184" t="s">
        <v>23</v>
      </c>
      <c r="H184">
        <v>12841</v>
      </c>
      <c r="I184">
        <v>11391</v>
      </c>
    </row>
    <row r="185" spans="1:9" x14ac:dyDescent="0.35">
      <c r="A185">
        <v>184</v>
      </c>
      <c r="B185" s="4">
        <v>45683</v>
      </c>
      <c r="C185" t="s">
        <v>14</v>
      </c>
      <c r="D185" t="s">
        <v>10</v>
      </c>
      <c r="E185" t="s">
        <v>42</v>
      </c>
      <c r="F185" t="s">
        <v>27</v>
      </c>
      <c r="G185" t="s">
        <v>28</v>
      </c>
      <c r="H185">
        <v>15573</v>
      </c>
      <c r="I185">
        <v>9363</v>
      </c>
    </row>
    <row r="186" spans="1:9" x14ac:dyDescent="0.35">
      <c r="A186">
        <v>185</v>
      </c>
      <c r="B186" s="4">
        <v>45705</v>
      </c>
      <c r="C186" t="s">
        <v>17</v>
      </c>
      <c r="D186" t="s">
        <v>18</v>
      </c>
      <c r="E186" t="s">
        <v>29</v>
      </c>
      <c r="F186" t="s">
        <v>36</v>
      </c>
      <c r="G186" t="s">
        <v>23</v>
      </c>
      <c r="H186">
        <v>14137</v>
      </c>
      <c r="I186">
        <v>11432</v>
      </c>
    </row>
    <row r="187" spans="1:9" x14ac:dyDescent="0.35">
      <c r="A187">
        <v>186</v>
      </c>
      <c r="B187" s="4">
        <v>45675</v>
      </c>
      <c r="C187" t="s">
        <v>17</v>
      </c>
      <c r="D187" t="s">
        <v>10</v>
      </c>
      <c r="E187" t="s">
        <v>42</v>
      </c>
      <c r="F187" t="s">
        <v>54</v>
      </c>
      <c r="G187" t="s">
        <v>33</v>
      </c>
      <c r="H187">
        <v>10389</v>
      </c>
      <c r="I187">
        <v>8448</v>
      </c>
    </row>
    <row r="188" spans="1:9" x14ac:dyDescent="0.35">
      <c r="A188">
        <v>187</v>
      </c>
      <c r="B188" s="4">
        <v>45705</v>
      </c>
      <c r="C188" t="s">
        <v>14</v>
      </c>
      <c r="D188" t="s">
        <v>10</v>
      </c>
      <c r="E188" t="s">
        <v>42</v>
      </c>
      <c r="F188" t="s">
        <v>51</v>
      </c>
      <c r="G188" t="s">
        <v>28</v>
      </c>
      <c r="H188">
        <v>17123</v>
      </c>
      <c r="I188">
        <v>12494</v>
      </c>
    </row>
    <row r="189" spans="1:9" x14ac:dyDescent="0.35">
      <c r="A189">
        <v>188</v>
      </c>
      <c r="B189" s="4">
        <v>45717</v>
      </c>
      <c r="C189" t="s">
        <v>37</v>
      </c>
      <c r="D189" t="s">
        <v>18</v>
      </c>
      <c r="E189" t="s">
        <v>19</v>
      </c>
      <c r="F189" t="s">
        <v>57</v>
      </c>
      <c r="G189" t="s">
        <v>23</v>
      </c>
      <c r="H189">
        <v>23457</v>
      </c>
      <c r="I189">
        <v>20867</v>
      </c>
    </row>
    <row r="190" spans="1:9" x14ac:dyDescent="0.35">
      <c r="A190">
        <v>189</v>
      </c>
      <c r="B190" s="4">
        <v>45699</v>
      </c>
      <c r="C190" t="s">
        <v>17</v>
      </c>
      <c r="D190" t="s">
        <v>18</v>
      </c>
      <c r="E190" t="s">
        <v>19</v>
      </c>
      <c r="F190" t="s">
        <v>68</v>
      </c>
      <c r="G190" t="s">
        <v>13</v>
      </c>
      <c r="H190">
        <v>12542</v>
      </c>
      <c r="I190">
        <v>10524</v>
      </c>
    </row>
    <row r="191" spans="1:9" x14ac:dyDescent="0.35">
      <c r="A191">
        <v>190</v>
      </c>
      <c r="B191" s="4">
        <v>45675</v>
      </c>
      <c r="C191" t="s">
        <v>14</v>
      </c>
      <c r="D191" t="s">
        <v>18</v>
      </c>
      <c r="E191" t="s">
        <v>26</v>
      </c>
      <c r="F191" t="s">
        <v>63</v>
      </c>
      <c r="G191" t="s">
        <v>35</v>
      </c>
      <c r="H191">
        <v>11297</v>
      </c>
      <c r="I191">
        <v>9166</v>
      </c>
    </row>
    <row r="192" spans="1:9" x14ac:dyDescent="0.35">
      <c r="A192">
        <v>191</v>
      </c>
      <c r="B192" s="4">
        <v>45662</v>
      </c>
      <c r="C192" t="s">
        <v>9</v>
      </c>
      <c r="D192" t="s">
        <v>18</v>
      </c>
      <c r="E192" t="s">
        <v>26</v>
      </c>
      <c r="F192" t="s">
        <v>71</v>
      </c>
      <c r="G192" t="s">
        <v>33</v>
      </c>
      <c r="H192">
        <v>20988</v>
      </c>
      <c r="I192">
        <v>14469</v>
      </c>
    </row>
    <row r="193" spans="1:9" x14ac:dyDescent="0.35">
      <c r="A193">
        <v>192</v>
      </c>
      <c r="B193" s="4">
        <v>45677</v>
      </c>
      <c r="C193" t="s">
        <v>9</v>
      </c>
      <c r="D193" t="s">
        <v>18</v>
      </c>
      <c r="E193" t="s">
        <v>29</v>
      </c>
      <c r="F193" t="s">
        <v>77</v>
      </c>
      <c r="G193" t="s">
        <v>13</v>
      </c>
      <c r="H193">
        <v>22125</v>
      </c>
      <c r="I193">
        <v>18956</v>
      </c>
    </row>
    <row r="194" spans="1:9" x14ac:dyDescent="0.35">
      <c r="A194">
        <v>193</v>
      </c>
      <c r="B194" s="4">
        <v>45699</v>
      </c>
      <c r="C194" t="s">
        <v>14</v>
      </c>
      <c r="D194" t="s">
        <v>18</v>
      </c>
      <c r="E194" t="s">
        <v>29</v>
      </c>
      <c r="F194" t="s">
        <v>54</v>
      </c>
      <c r="G194" t="s">
        <v>28</v>
      </c>
      <c r="H194">
        <v>24547</v>
      </c>
      <c r="I194">
        <v>22049</v>
      </c>
    </row>
    <row r="195" spans="1:9" x14ac:dyDescent="0.35">
      <c r="A195">
        <v>194</v>
      </c>
      <c r="B195" s="4">
        <v>45664</v>
      </c>
      <c r="C195" t="s">
        <v>9</v>
      </c>
      <c r="D195" t="s">
        <v>18</v>
      </c>
      <c r="E195" t="s">
        <v>29</v>
      </c>
      <c r="F195" t="s">
        <v>44</v>
      </c>
      <c r="G195" t="s">
        <v>33</v>
      </c>
      <c r="H195">
        <v>24450</v>
      </c>
      <c r="I195">
        <v>15331</v>
      </c>
    </row>
    <row r="196" spans="1:9" x14ac:dyDescent="0.35">
      <c r="A196">
        <v>195</v>
      </c>
      <c r="B196" s="4">
        <v>45690</v>
      </c>
      <c r="C196" t="s">
        <v>14</v>
      </c>
      <c r="D196" t="s">
        <v>10</v>
      </c>
      <c r="E196" t="s">
        <v>11</v>
      </c>
      <c r="F196" t="s">
        <v>47</v>
      </c>
      <c r="G196" t="s">
        <v>28</v>
      </c>
      <c r="H196">
        <v>6284</v>
      </c>
      <c r="I196">
        <v>4993</v>
      </c>
    </row>
    <row r="197" spans="1:9" x14ac:dyDescent="0.35">
      <c r="A197">
        <v>196</v>
      </c>
      <c r="B197" s="4">
        <v>45702</v>
      </c>
      <c r="C197" t="s">
        <v>14</v>
      </c>
      <c r="D197" t="s">
        <v>18</v>
      </c>
      <c r="E197" t="s">
        <v>19</v>
      </c>
      <c r="F197" t="s">
        <v>49</v>
      </c>
      <c r="G197" t="s">
        <v>33</v>
      </c>
      <c r="H197">
        <v>12554</v>
      </c>
      <c r="I197">
        <v>7624</v>
      </c>
    </row>
    <row r="198" spans="1:9" x14ac:dyDescent="0.35">
      <c r="A198">
        <v>197</v>
      </c>
      <c r="B198" s="4">
        <v>45682</v>
      </c>
      <c r="C198" t="s">
        <v>9</v>
      </c>
      <c r="D198" t="s">
        <v>10</v>
      </c>
      <c r="E198" t="s">
        <v>42</v>
      </c>
      <c r="F198" t="s">
        <v>73</v>
      </c>
      <c r="G198" t="s">
        <v>35</v>
      </c>
      <c r="H198">
        <v>3970</v>
      </c>
      <c r="I198">
        <v>3382</v>
      </c>
    </row>
    <row r="199" spans="1:9" x14ac:dyDescent="0.35">
      <c r="A199">
        <v>198</v>
      </c>
      <c r="B199" s="4">
        <v>45710</v>
      </c>
      <c r="C199" t="s">
        <v>17</v>
      </c>
      <c r="D199" t="s">
        <v>10</v>
      </c>
      <c r="E199" t="s">
        <v>42</v>
      </c>
      <c r="F199" t="s">
        <v>73</v>
      </c>
      <c r="G199" t="s">
        <v>35</v>
      </c>
      <c r="H199">
        <v>7069</v>
      </c>
      <c r="I199">
        <v>4510</v>
      </c>
    </row>
    <row r="200" spans="1:9" x14ac:dyDescent="0.35">
      <c r="A200">
        <v>199</v>
      </c>
      <c r="B200" s="4">
        <v>45707</v>
      </c>
      <c r="C200" t="s">
        <v>14</v>
      </c>
      <c r="D200" t="s">
        <v>18</v>
      </c>
      <c r="E200" t="s">
        <v>19</v>
      </c>
      <c r="F200" t="s">
        <v>30</v>
      </c>
      <c r="G200" t="s">
        <v>35</v>
      </c>
      <c r="H200">
        <v>17934</v>
      </c>
      <c r="I200">
        <v>14381</v>
      </c>
    </row>
    <row r="201" spans="1:9" x14ac:dyDescent="0.35">
      <c r="A201">
        <v>200</v>
      </c>
      <c r="B201" s="4">
        <v>45683</v>
      </c>
      <c r="C201" t="s">
        <v>37</v>
      </c>
      <c r="D201" t="s">
        <v>18</v>
      </c>
      <c r="E201" t="s">
        <v>29</v>
      </c>
      <c r="F201" t="s">
        <v>43</v>
      </c>
      <c r="G201" t="s">
        <v>35</v>
      </c>
      <c r="H201">
        <v>6437</v>
      </c>
      <c r="I201">
        <v>4292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3"/>
  <sheetViews>
    <sheetView topLeftCell="E1" workbookViewId="0">
      <selection activeCell="M2" sqref="M2"/>
    </sheetView>
  </sheetViews>
  <sheetFormatPr defaultRowHeight="14.5" x14ac:dyDescent="0.35"/>
  <cols>
    <col min="13" max="13" width="37.54296875" customWidth="1"/>
    <col min="14" max="14" width="46" customWidth="1"/>
  </cols>
  <sheetData>
    <row r="1" spans="1:15" x14ac:dyDescent="0.35">
      <c r="A1" t="s">
        <v>0</v>
      </c>
      <c r="B1" t="s">
        <v>1</v>
      </c>
      <c r="C1" t="s">
        <v>2</v>
      </c>
      <c r="D1" t="s">
        <v>3</v>
      </c>
      <c r="E1" t="s">
        <v>4</v>
      </c>
      <c r="F1" t="s">
        <v>5</v>
      </c>
      <c r="G1" t="s">
        <v>6</v>
      </c>
      <c r="H1" t="s">
        <v>7</v>
      </c>
      <c r="I1" t="s">
        <v>8</v>
      </c>
      <c r="J1" t="s">
        <v>100</v>
      </c>
      <c r="K1" t="s">
        <v>101</v>
      </c>
    </row>
    <row r="2" spans="1:15" ht="18.5" x14ac:dyDescent="0.45">
      <c r="A2">
        <v>1</v>
      </c>
      <c r="B2" s="1">
        <v>45660</v>
      </c>
      <c r="C2" t="s">
        <v>9</v>
      </c>
      <c r="D2" t="s">
        <v>10</v>
      </c>
      <c r="E2" t="s">
        <v>11</v>
      </c>
      <c r="F2" t="s">
        <v>12</v>
      </c>
      <c r="G2" t="s">
        <v>13</v>
      </c>
      <c r="H2">
        <v>5811</v>
      </c>
      <c r="I2">
        <v>5067</v>
      </c>
      <c r="J2">
        <f>H2-I2</f>
        <v>744</v>
      </c>
      <c r="K2" s="6">
        <f>J2/H2</f>
        <v>0.12803304078471864</v>
      </c>
      <c r="M2" s="3" t="s">
        <v>91</v>
      </c>
      <c r="N2" s="5" t="s">
        <v>89</v>
      </c>
    </row>
    <row r="3" spans="1:15" x14ac:dyDescent="0.35">
      <c r="A3">
        <v>2</v>
      </c>
      <c r="B3" s="1">
        <v>45710</v>
      </c>
      <c r="C3" t="s">
        <v>14</v>
      </c>
      <c r="D3" t="s">
        <v>10</v>
      </c>
      <c r="E3" t="s">
        <v>15</v>
      </c>
      <c r="F3" t="s">
        <v>16</v>
      </c>
      <c r="G3" t="s">
        <v>13</v>
      </c>
      <c r="H3">
        <v>13553</v>
      </c>
      <c r="I3">
        <v>8173</v>
      </c>
      <c r="J3">
        <f t="shared" ref="J3:J66" si="0">H3-I3</f>
        <v>5380</v>
      </c>
      <c r="K3" s="6">
        <f t="shared" ref="K3:K66" si="1">J3/H3</f>
        <v>0.39696008263853022</v>
      </c>
      <c r="M3" t="s">
        <v>92</v>
      </c>
      <c r="N3" t="s">
        <v>103</v>
      </c>
    </row>
    <row r="4" spans="1:15" x14ac:dyDescent="0.35">
      <c r="A4">
        <v>3</v>
      </c>
      <c r="B4" s="1">
        <v>45714</v>
      </c>
      <c r="C4" t="s">
        <v>17</v>
      </c>
      <c r="D4" t="s">
        <v>18</v>
      </c>
      <c r="E4" t="s">
        <v>19</v>
      </c>
      <c r="F4" t="s">
        <v>20</v>
      </c>
      <c r="G4" t="s">
        <v>13</v>
      </c>
      <c r="H4">
        <v>7987</v>
      </c>
      <c r="I4">
        <v>5653</v>
      </c>
      <c r="J4">
        <f t="shared" si="0"/>
        <v>2334</v>
      </c>
      <c r="K4" s="6">
        <f t="shared" si="1"/>
        <v>0.29222486540628523</v>
      </c>
      <c r="M4" t="s">
        <v>93</v>
      </c>
      <c r="N4" t="s">
        <v>102</v>
      </c>
    </row>
    <row r="5" spans="1:15" x14ac:dyDescent="0.35">
      <c r="A5">
        <v>4</v>
      </c>
      <c r="B5" s="1">
        <v>45710</v>
      </c>
      <c r="C5" t="s">
        <v>9</v>
      </c>
      <c r="D5" t="s">
        <v>10</v>
      </c>
      <c r="E5" t="s">
        <v>21</v>
      </c>
      <c r="F5" t="s">
        <v>22</v>
      </c>
      <c r="G5" t="s">
        <v>23</v>
      </c>
      <c r="H5">
        <v>3254</v>
      </c>
      <c r="I5">
        <v>2435</v>
      </c>
      <c r="J5">
        <f t="shared" si="0"/>
        <v>819</v>
      </c>
      <c r="K5" s="6">
        <f t="shared" si="1"/>
        <v>0.25169022741241548</v>
      </c>
      <c r="M5" t="s">
        <v>94</v>
      </c>
    </row>
    <row r="6" spans="1:15" x14ac:dyDescent="0.35">
      <c r="A6">
        <v>5</v>
      </c>
      <c r="B6" s="1">
        <v>45702</v>
      </c>
      <c r="C6" t="s">
        <v>17</v>
      </c>
      <c r="D6" t="s">
        <v>18</v>
      </c>
      <c r="E6" t="s">
        <v>19</v>
      </c>
      <c r="F6" t="s">
        <v>24</v>
      </c>
      <c r="G6" t="s">
        <v>23</v>
      </c>
      <c r="H6">
        <v>13732</v>
      </c>
      <c r="I6">
        <v>11076</v>
      </c>
      <c r="J6">
        <f t="shared" si="0"/>
        <v>2656</v>
      </c>
      <c r="K6" s="6">
        <f t="shared" si="1"/>
        <v>0.19341683658607631</v>
      </c>
      <c r="M6" t="s">
        <v>95</v>
      </c>
      <c r="N6" t="s">
        <v>105</v>
      </c>
      <c r="O6" s="3">
        <f>SUBTOTAL(9,H2:H201)</f>
        <v>3235200</v>
      </c>
    </row>
    <row r="7" spans="1:15" x14ac:dyDescent="0.35">
      <c r="A7">
        <v>6</v>
      </c>
      <c r="B7" s="1">
        <v>45669</v>
      </c>
      <c r="C7" t="s">
        <v>17</v>
      </c>
      <c r="D7" t="s">
        <v>10</v>
      </c>
      <c r="E7" t="s">
        <v>11</v>
      </c>
      <c r="F7" t="s">
        <v>25</v>
      </c>
      <c r="G7" t="s">
        <v>13</v>
      </c>
      <c r="H7">
        <v>17328</v>
      </c>
      <c r="I7">
        <v>14130</v>
      </c>
      <c r="J7">
        <f t="shared" si="0"/>
        <v>3198</v>
      </c>
      <c r="K7" s="6">
        <f t="shared" si="1"/>
        <v>0.18455678670360109</v>
      </c>
      <c r="M7" t="s">
        <v>96</v>
      </c>
      <c r="N7" t="s">
        <v>106</v>
      </c>
      <c r="O7" s="3">
        <f>SUBTOTAL(9,I2:I201)</f>
        <v>2447134</v>
      </c>
    </row>
    <row r="8" spans="1:15" x14ac:dyDescent="0.35">
      <c r="A8">
        <v>7</v>
      </c>
      <c r="B8" s="1">
        <v>45687</v>
      </c>
      <c r="C8" t="s">
        <v>14</v>
      </c>
      <c r="D8" t="s">
        <v>18</v>
      </c>
      <c r="E8" t="s">
        <v>26</v>
      </c>
      <c r="F8" t="s">
        <v>27</v>
      </c>
      <c r="G8" t="s">
        <v>28</v>
      </c>
      <c r="H8">
        <v>16650</v>
      </c>
      <c r="I8">
        <v>14634</v>
      </c>
      <c r="J8">
        <f t="shared" si="0"/>
        <v>2016</v>
      </c>
      <c r="K8" s="6">
        <f t="shared" si="1"/>
        <v>0.12108108108108108</v>
      </c>
      <c r="M8" t="s">
        <v>97</v>
      </c>
      <c r="N8" t="s">
        <v>107</v>
      </c>
      <c r="O8" s="3">
        <f>SUBTOTAL(9,J2:J201)</f>
        <v>788066</v>
      </c>
    </row>
    <row r="9" spans="1:15" x14ac:dyDescent="0.35">
      <c r="A9">
        <v>8</v>
      </c>
      <c r="B9" s="1">
        <v>45661</v>
      </c>
      <c r="C9" t="s">
        <v>17</v>
      </c>
      <c r="D9" t="s">
        <v>18</v>
      </c>
      <c r="E9" t="s">
        <v>29</v>
      </c>
      <c r="F9" t="s">
        <v>30</v>
      </c>
      <c r="G9" t="s">
        <v>13</v>
      </c>
      <c r="H9">
        <v>4964</v>
      </c>
      <c r="I9">
        <v>3181</v>
      </c>
      <c r="J9">
        <f t="shared" si="0"/>
        <v>1783</v>
      </c>
      <c r="K9" s="6">
        <f t="shared" si="1"/>
        <v>0.35918614020950845</v>
      </c>
      <c r="M9" t="s">
        <v>98</v>
      </c>
      <c r="N9" t="s">
        <v>108</v>
      </c>
      <c r="O9" s="3">
        <f>COUNT(A2:A201)</f>
        <v>200</v>
      </c>
    </row>
    <row r="10" spans="1:15" x14ac:dyDescent="0.35">
      <c r="A10">
        <v>9</v>
      </c>
      <c r="B10" s="1">
        <v>45705</v>
      </c>
      <c r="C10" t="s">
        <v>14</v>
      </c>
      <c r="D10" t="s">
        <v>10</v>
      </c>
      <c r="E10" t="s">
        <v>11</v>
      </c>
      <c r="F10" t="s">
        <v>31</v>
      </c>
      <c r="G10" t="s">
        <v>23</v>
      </c>
      <c r="H10">
        <v>19497</v>
      </c>
      <c r="I10">
        <v>16208</v>
      </c>
      <c r="J10">
        <f t="shared" si="0"/>
        <v>3289</v>
      </c>
      <c r="K10" s="6">
        <f t="shared" si="1"/>
        <v>0.16869261937734009</v>
      </c>
      <c r="M10" t="s">
        <v>99</v>
      </c>
      <c r="N10" t="s">
        <v>109</v>
      </c>
      <c r="O10" s="3">
        <f>AVERAGE(H2:H201)</f>
        <v>16176</v>
      </c>
    </row>
    <row r="11" spans="1:15" x14ac:dyDescent="0.35">
      <c r="A11">
        <v>10</v>
      </c>
      <c r="B11" s="1">
        <v>45693</v>
      </c>
      <c r="C11" t="s">
        <v>17</v>
      </c>
      <c r="D11" t="s">
        <v>18</v>
      </c>
      <c r="E11" t="s">
        <v>32</v>
      </c>
      <c r="F11" t="s">
        <v>25</v>
      </c>
      <c r="G11" t="s">
        <v>33</v>
      </c>
      <c r="H11">
        <v>29094</v>
      </c>
      <c r="I11">
        <v>19174</v>
      </c>
      <c r="J11">
        <f t="shared" si="0"/>
        <v>9920</v>
      </c>
      <c r="K11" s="6">
        <f t="shared" si="1"/>
        <v>0.34096377259916133</v>
      </c>
    </row>
    <row r="12" spans="1:15" x14ac:dyDescent="0.35">
      <c r="A12">
        <v>11</v>
      </c>
      <c r="B12" s="1">
        <v>45666</v>
      </c>
      <c r="C12" t="s">
        <v>9</v>
      </c>
      <c r="D12" t="s">
        <v>18</v>
      </c>
      <c r="E12" t="s">
        <v>19</v>
      </c>
      <c r="F12" t="s">
        <v>34</v>
      </c>
      <c r="G12" t="s">
        <v>35</v>
      </c>
      <c r="H12">
        <v>27904</v>
      </c>
      <c r="I12">
        <v>24463</v>
      </c>
      <c r="J12">
        <f t="shared" si="0"/>
        <v>3441</v>
      </c>
      <c r="K12" s="6">
        <f t="shared" si="1"/>
        <v>0.12331565366972477</v>
      </c>
    </row>
    <row r="13" spans="1:15" x14ac:dyDescent="0.35">
      <c r="A13">
        <v>12</v>
      </c>
      <c r="B13" s="1">
        <v>45680</v>
      </c>
      <c r="C13" t="s">
        <v>14</v>
      </c>
      <c r="D13" t="s">
        <v>18</v>
      </c>
      <c r="E13" t="s">
        <v>29</v>
      </c>
      <c r="F13" t="s">
        <v>36</v>
      </c>
      <c r="G13" t="s">
        <v>28</v>
      </c>
      <c r="H13">
        <v>9233</v>
      </c>
      <c r="I13">
        <v>6766</v>
      </c>
      <c r="J13">
        <f t="shared" si="0"/>
        <v>2467</v>
      </c>
      <c r="K13" s="6">
        <f t="shared" si="1"/>
        <v>0.26719376150763563</v>
      </c>
    </row>
    <row r="14" spans="1:15" x14ac:dyDescent="0.35">
      <c r="A14">
        <v>13</v>
      </c>
      <c r="B14" s="1">
        <v>45713</v>
      </c>
      <c r="C14" t="s">
        <v>37</v>
      </c>
      <c r="D14" t="s">
        <v>10</v>
      </c>
      <c r="E14" t="s">
        <v>15</v>
      </c>
      <c r="F14" t="s">
        <v>38</v>
      </c>
      <c r="G14" t="s">
        <v>13</v>
      </c>
      <c r="H14">
        <v>27329</v>
      </c>
      <c r="I14">
        <v>18038</v>
      </c>
      <c r="J14">
        <f t="shared" si="0"/>
        <v>9291</v>
      </c>
      <c r="K14" s="6">
        <f t="shared" si="1"/>
        <v>0.33996853159647261</v>
      </c>
    </row>
    <row r="15" spans="1:15" x14ac:dyDescent="0.35">
      <c r="A15">
        <v>14</v>
      </c>
      <c r="B15" s="1">
        <v>45700</v>
      </c>
      <c r="C15" t="s">
        <v>9</v>
      </c>
      <c r="D15" t="s">
        <v>10</v>
      </c>
      <c r="E15" t="s">
        <v>15</v>
      </c>
      <c r="F15" t="s">
        <v>39</v>
      </c>
      <c r="G15" t="s">
        <v>33</v>
      </c>
      <c r="H15">
        <v>6994</v>
      </c>
      <c r="I15">
        <v>5062</v>
      </c>
      <c r="J15">
        <f t="shared" si="0"/>
        <v>1932</v>
      </c>
      <c r="K15" s="6">
        <f t="shared" si="1"/>
        <v>0.27623677437803834</v>
      </c>
    </row>
    <row r="16" spans="1:15" x14ac:dyDescent="0.35">
      <c r="A16">
        <v>15</v>
      </c>
      <c r="B16" s="1">
        <v>45684</v>
      </c>
      <c r="C16" t="s">
        <v>37</v>
      </c>
      <c r="D16" t="s">
        <v>10</v>
      </c>
      <c r="E16" t="s">
        <v>11</v>
      </c>
      <c r="F16" t="s">
        <v>40</v>
      </c>
      <c r="G16" t="s">
        <v>13</v>
      </c>
      <c r="H16">
        <v>6822</v>
      </c>
      <c r="I16">
        <v>5407</v>
      </c>
      <c r="J16">
        <f t="shared" si="0"/>
        <v>1415</v>
      </c>
      <c r="K16" s="6">
        <f t="shared" si="1"/>
        <v>0.20741717971269422</v>
      </c>
    </row>
    <row r="17" spans="1:11" x14ac:dyDescent="0.35">
      <c r="A17">
        <v>16</v>
      </c>
      <c r="B17" s="1">
        <v>45670</v>
      </c>
      <c r="C17" t="s">
        <v>37</v>
      </c>
      <c r="D17" t="s">
        <v>18</v>
      </c>
      <c r="E17" t="s">
        <v>29</v>
      </c>
      <c r="F17" t="s">
        <v>34</v>
      </c>
      <c r="G17" t="s">
        <v>23</v>
      </c>
      <c r="H17">
        <v>14681</v>
      </c>
      <c r="I17">
        <v>11778</v>
      </c>
      <c r="J17">
        <f t="shared" si="0"/>
        <v>2903</v>
      </c>
      <c r="K17" s="6">
        <f t="shared" si="1"/>
        <v>0.19773857366664396</v>
      </c>
    </row>
    <row r="18" spans="1:11" x14ac:dyDescent="0.35">
      <c r="A18">
        <v>17</v>
      </c>
      <c r="B18" s="1">
        <v>45671</v>
      </c>
      <c r="C18" t="s">
        <v>9</v>
      </c>
      <c r="D18" t="s">
        <v>18</v>
      </c>
      <c r="E18" t="s">
        <v>26</v>
      </c>
      <c r="F18" t="s">
        <v>41</v>
      </c>
      <c r="G18" t="s">
        <v>28</v>
      </c>
      <c r="H18">
        <v>21800</v>
      </c>
      <c r="I18">
        <v>16672</v>
      </c>
      <c r="J18">
        <f t="shared" si="0"/>
        <v>5128</v>
      </c>
      <c r="K18" s="6">
        <f t="shared" si="1"/>
        <v>0.23522935779816515</v>
      </c>
    </row>
    <row r="19" spans="1:11" x14ac:dyDescent="0.35">
      <c r="A19">
        <v>18</v>
      </c>
      <c r="B19" s="1">
        <v>45706</v>
      </c>
      <c r="C19" t="s">
        <v>37</v>
      </c>
      <c r="D19" t="s">
        <v>18</v>
      </c>
      <c r="E19" t="s">
        <v>29</v>
      </c>
      <c r="F19" t="s">
        <v>36</v>
      </c>
      <c r="G19" t="s">
        <v>35</v>
      </c>
      <c r="H19">
        <v>27543</v>
      </c>
      <c r="I19">
        <v>21241</v>
      </c>
      <c r="J19">
        <f t="shared" si="0"/>
        <v>6302</v>
      </c>
      <c r="K19" s="6">
        <f t="shared" si="1"/>
        <v>0.22880586718948553</v>
      </c>
    </row>
    <row r="20" spans="1:11" x14ac:dyDescent="0.35">
      <c r="A20">
        <v>19</v>
      </c>
      <c r="B20" s="1">
        <v>45709</v>
      </c>
      <c r="C20" t="s">
        <v>17</v>
      </c>
      <c r="D20" t="s">
        <v>10</v>
      </c>
      <c r="E20" t="s">
        <v>42</v>
      </c>
      <c r="F20" t="s">
        <v>20</v>
      </c>
      <c r="G20" t="s">
        <v>28</v>
      </c>
      <c r="H20">
        <v>8177</v>
      </c>
      <c r="I20">
        <v>6277</v>
      </c>
      <c r="J20">
        <f t="shared" si="0"/>
        <v>1900</v>
      </c>
      <c r="K20" s="6">
        <f t="shared" si="1"/>
        <v>0.23235905588846764</v>
      </c>
    </row>
    <row r="21" spans="1:11" x14ac:dyDescent="0.35">
      <c r="A21">
        <v>20</v>
      </c>
      <c r="B21" s="1">
        <v>45688</v>
      </c>
      <c r="C21" t="s">
        <v>14</v>
      </c>
      <c r="D21" t="s">
        <v>18</v>
      </c>
      <c r="E21" t="s">
        <v>32</v>
      </c>
      <c r="F21" t="s">
        <v>43</v>
      </c>
      <c r="G21" t="s">
        <v>33</v>
      </c>
      <c r="H21">
        <v>17261</v>
      </c>
      <c r="I21">
        <v>14516</v>
      </c>
      <c r="J21">
        <f t="shared" si="0"/>
        <v>2745</v>
      </c>
      <c r="K21" s="6">
        <f t="shared" si="1"/>
        <v>0.15902902496958463</v>
      </c>
    </row>
    <row r="22" spans="1:11" x14ac:dyDescent="0.35">
      <c r="A22">
        <v>21</v>
      </c>
      <c r="B22" s="1">
        <v>45680</v>
      </c>
      <c r="C22" t="s">
        <v>37</v>
      </c>
      <c r="D22" t="s">
        <v>18</v>
      </c>
      <c r="E22" t="s">
        <v>26</v>
      </c>
      <c r="F22" t="s">
        <v>44</v>
      </c>
      <c r="G22" t="s">
        <v>28</v>
      </c>
      <c r="H22">
        <v>13080</v>
      </c>
      <c r="I22">
        <v>11394</v>
      </c>
      <c r="J22">
        <f t="shared" si="0"/>
        <v>1686</v>
      </c>
      <c r="K22" s="6">
        <f t="shared" si="1"/>
        <v>0.12889908256880733</v>
      </c>
    </row>
    <row r="23" spans="1:11" x14ac:dyDescent="0.35">
      <c r="A23">
        <v>22</v>
      </c>
      <c r="B23" s="1">
        <v>45683</v>
      </c>
      <c r="C23" t="s">
        <v>9</v>
      </c>
      <c r="D23" t="s">
        <v>10</v>
      </c>
      <c r="E23" t="s">
        <v>15</v>
      </c>
      <c r="F23" t="s">
        <v>45</v>
      </c>
      <c r="G23" t="s">
        <v>33</v>
      </c>
      <c r="H23">
        <v>12676</v>
      </c>
      <c r="I23">
        <v>8182</v>
      </c>
      <c r="J23">
        <f t="shared" si="0"/>
        <v>4494</v>
      </c>
      <c r="K23" s="6">
        <f t="shared" si="1"/>
        <v>0.35452824234774377</v>
      </c>
    </row>
    <row r="24" spans="1:11" x14ac:dyDescent="0.35">
      <c r="A24">
        <v>23</v>
      </c>
      <c r="B24" s="1">
        <v>45679</v>
      </c>
      <c r="C24" t="s">
        <v>9</v>
      </c>
      <c r="D24" t="s">
        <v>10</v>
      </c>
      <c r="E24" t="s">
        <v>21</v>
      </c>
      <c r="F24" t="s">
        <v>45</v>
      </c>
      <c r="G24" t="s">
        <v>13</v>
      </c>
      <c r="H24">
        <v>12995</v>
      </c>
      <c r="I24">
        <v>10838</v>
      </c>
      <c r="J24">
        <f t="shared" si="0"/>
        <v>2157</v>
      </c>
      <c r="K24" s="6">
        <f t="shared" si="1"/>
        <v>0.16598691804540208</v>
      </c>
    </row>
    <row r="25" spans="1:11" x14ac:dyDescent="0.35">
      <c r="A25">
        <v>24</v>
      </c>
      <c r="B25" s="1">
        <v>45714</v>
      </c>
      <c r="C25" t="s">
        <v>17</v>
      </c>
      <c r="D25" t="s">
        <v>10</v>
      </c>
      <c r="E25" t="s">
        <v>15</v>
      </c>
      <c r="F25" t="s">
        <v>46</v>
      </c>
      <c r="G25" t="s">
        <v>33</v>
      </c>
      <c r="H25">
        <v>26402</v>
      </c>
      <c r="I25">
        <v>22809</v>
      </c>
      <c r="J25">
        <f t="shared" si="0"/>
        <v>3593</v>
      </c>
      <c r="K25" s="6">
        <f t="shared" si="1"/>
        <v>0.13608817513824711</v>
      </c>
    </row>
    <row r="26" spans="1:11" x14ac:dyDescent="0.35">
      <c r="A26">
        <v>25</v>
      </c>
      <c r="B26" s="1">
        <v>45677</v>
      </c>
      <c r="C26" t="s">
        <v>17</v>
      </c>
      <c r="D26" t="s">
        <v>18</v>
      </c>
      <c r="E26" t="s">
        <v>29</v>
      </c>
      <c r="F26" t="s">
        <v>47</v>
      </c>
      <c r="G26" t="s">
        <v>33</v>
      </c>
      <c r="H26">
        <v>20499</v>
      </c>
      <c r="I26">
        <v>13107</v>
      </c>
      <c r="J26">
        <f t="shared" si="0"/>
        <v>7392</v>
      </c>
      <c r="K26" s="6">
        <f t="shared" si="1"/>
        <v>0.36060295624176791</v>
      </c>
    </row>
    <row r="27" spans="1:11" x14ac:dyDescent="0.35">
      <c r="A27">
        <v>26</v>
      </c>
      <c r="B27" s="1">
        <v>45682</v>
      </c>
      <c r="C27" t="s">
        <v>37</v>
      </c>
      <c r="D27" t="s">
        <v>10</v>
      </c>
      <c r="E27" t="s">
        <v>11</v>
      </c>
      <c r="F27" t="s">
        <v>48</v>
      </c>
      <c r="G27" t="s">
        <v>35</v>
      </c>
      <c r="H27">
        <v>22507</v>
      </c>
      <c r="I27">
        <v>15607</v>
      </c>
      <c r="J27">
        <f t="shared" si="0"/>
        <v>6900</v>
      </c>
      <c r="K27" s="6">
        <f t="shared" si="1"/>
        <v>0.30657128893233215</v>
      </c>
    </row>
    <row r="28" spans="1:11" x14ac:dyDescent="0.35">
      <c r="A28">
        <v>27</v>
      </c>
      <c r="B28" s="1">
        <v>45702</v>
      </c>
      <c r="C28" t="s">
        <v>37</v>
      </c>
      <c r="D28" t="s">
        <v>10</v>
      </c>
      <c r="E28" t="s">
        <v>21</v>
      </c>
      <c r="F28" t="s">
        <v>46</v>
      </c>
      <c r="G28" t="s">
        <v>35</v>
      </c>
      <c r="H28">
        <v>4786</v>
      </c>
      <c r="I28">
        <v>3412</v>
      </c>
      <c r="J28">
        <f t="shared" si="0"/>
        <v>1374</v>
      </c>
      <c r="K28" s="6">
        <f t="shared" si="1"/>
        <v>0.28708733806936898</v>
      </c>
    </row>
    <row r="29" spans="1:11" x14ac:dyDescent="0.35">
      <c r="A29">
        <v>28</v>
      </c>
      <c r="B29" s="1">
        <v>45668</v>
      </c>
      <c r="C29" t="s">
        <v>9</v>
      </c>
      <c r="D29" t="s">
        <v>18</v>
      </c>
      <c r="E29" t="s">
        <v>26</v>
      </c>
      <c r="F29" t="s">
        <v>43</v>
      </c>
      <c r="G29" t="s">
        <v>28</v>
      </c>
      <c r="H29">
        <v>26850</v>
      </c>
      <c r="I29">
        <v>20892</v>
      </c>
      <c r="J29">
        <f t="shared" si="0"/>
        <v>5958</v>
      </c>
      <c r="K29" s="6">
        <f t="shared" si="1"/>
        <v>0.22189944134078213</v>
      </c>
    </row>
    <row r="30" spans="1:11" x14ac:dyDescent="0.35">
      <c r="A30">
        <v>29</v>
      </c>
      <c r="B30" s="1">
        <v>45687</v>
      </c>
      <c r="C30" t="s">
        <v>37</v>
      </c>
      <c r="D30" t="s">
        <v>18</v>
      </c>
      <c r="E30" t="s">
        <v>19</v>
      </c>
      <c r="F30" t="s">
        <v>49</v>
      </c>
      <c r="G30" t="s">
        <v>23</v>
      </c>
      <c r="H30">
        <v>19466</v>
      </c>
      <c r="I30">
        <v>17460</v>
      </c>
      <c r="J30">
        <f t="shared" si="0"/>
        <v>2006</v>
      </c>
      <c r="K30" s="6">
        <f t="shared" si="1"/>
        <v>0.10305147436556046</v>
      </c>
    </row>
    <row r="31" spans="1:11" x14ac:dyDescent="0.35">
      <c r="A31">
        <v>30</v>
      </c>
      <c r="B31" s="1">
        <v>45703</v>
      </c>
      <c r="C31" t="s">
        <v>9</v>
      </c>
      <c r="D31" t="s">
        <v>10</v>
      </c>
      <c r="E31" t="s">
        <v>15</v>
      </c>
      <c r="F31" t="s">
        <v>36</v>
      </c>
      <c r="G31" t="s">
        <v>35</v>
      </c>
      <c r="H31">
        <v>14784</v>
      </c>
      <c r="I31">
        <v>9723</v>
      </c>
      <c r="J31">
        <f t="shared" si="0"/>
        <v>5061</v>
      </c>
      <c r="K31" s="6">
        <f t="shared" si="1"/>
        <v>0.34232954545454547</v>
      </c>
    </row>
    <row r="32" spans="1:11" x14ac:dyDescent="0.35">
      <c r="A32">
        <v>31</v>
      </c>
      <c r="B32" s="1">
        <v>45670</v>
      </c>
      <c r="C32" t="s">
        <v>9</v>
      </c>
      <c r="D32" t="s">
        <v>18</v>
      </c>
      <c r="E32" t="s">
        <v>29</v>
      </c>
      <c r="F32" t="s">
        <v>50</v>
      </c>
      <c r="G32" t="s">
        <v>35</v>
      </c>
      <c r="H32">
        <v>28085</v>
      </c>
      <c r="I32">
        <v>22509</v>
      </c>
      <c r="J32">
        <f t="shared" si="0"/>
        <v>5576</v>
      </c>
      <c r="K32" s="6">
        <f t="shared" si="1"/>
        <v>0.19854014598540146</v>
      </c>
    </row>
    <row r="33" spans="1:11" x14ac:dyDescent="0.35">
      <c r="A33">
        <v>32</v>
      </c>
      <c r="B33" s="1">
        <v>45675</v>
      </c>
      <c r="C33" t="s">
        <v>37</v>
      </c>
      <c r="D33" t="s">
        <v>18</v>
      </c>
      <c r="E33" t="s">
        <v>26</v>
      </c>
      <c r="F33" t="s">
        <v>51</v>
      </c>
      <c r="G33" t="s">
        <v>33</v>
      </c>
      <c r="H33">
        <v>11264</v>
      </c>
      <c r="I33">
        <v>9957</v>
      </c>
      <c r="J33">
        <f t="shared" si="0"/>
        <v>1307</v>
      </c>
      <c r="K33" s="6">
        <f t="shared" si="1"/>
        <v>0.11603338068181818</v>
      </c>
    </row>
    <row r="34" spans="1:11" x14ac:dyDescent="0.35">
      <c r="A34">
        <v>33</v>
      </c>
      <c r="B34" s="1">
        <v>45680</v>
      </c>
      <c r="C34" t="s">
        <v>17</v>
      </c>
      <c r="D34" t="s">
        <v>18</v>
      </c>
      <c r="E34" t="s">
        <v>29</v>
      </c>
      <c r="F34" t="s">
        <v>44</v>
      </c>
      <c r="G34" t="s">
        <v>28</v>
      </c>
      <c r="H34">
        <v>10384</v>
      </c>
      <c r="I34">
        <v>7534</v>
      </c>
      <c r="J34">
        <f t="shared" si="0"/>
        <v>2850</v>
      </c>
      <c r="K34" s="6">
        <f t="shared" si="1"/>
        <v>0.2744607087827427</v>
      </c>
    </row>
    <row r="35" spans="1:11" x14ac:dyDescent="0.35">
      <c r="A35">
        <v>34</v>
      </c>
      <c r="B35" s="1">
        <v>45674</v>
      </c>
      <c r="C35" t="s">
        <v>14</v>
      </c>
      <c r="D35" t="s">
        <v>18</v>
      </c>
      <c r="E35" t="s">
        <v>19</v>
      </c>
      <c r="F35" t="s">
        <v>39</v>
      </c>
      <c r="G35" t="s">
        <v>33</v>
      </c>
      <c r="H35">
        <v>13816</v>
      </c>
      <c r="I35">
        <v>9688</v>
      </c>
      <c r="J35">
        <f t="shared" si="0"/>
        <v>4128</v>
      </c>
      <c r="K35" s="6">
        <f t="shared" si="1"/>
        <v>0.29878401852924147</v>
      </c>
    </row>
    <row r="36" spans="1:11" x14ac:dyDescent="0.35">
      <c r="A36">
        <v>35</v>
      </c>
      <c r="B36" s="1">
        <v>45673</v>
      </c>
      <c r="C36" t="s">
        <v>9</v>
      </c>
      <c r="D36" t="s">
        <v>10</v>
      </c>
      <c r="E36" t="s">
        <v>15</v>
      </c>
      <c r="F36" t="s">
        <v>52</v>
      </c>
      <c r="G36" t="s">
        <v>13</v>
      </c>
      <c r="H36">
        <v>19945</v>
      </c>
      <c r="I36">
        <v>17781</v>
      </c>
      <c r="J36">
        <f t="shared" si="0"/>
        <v>2164</v>
      </c>
      <c r="K36" s="6">
        <f t="shared" si="1"/>
        <v>0.10849837051892705</v>
      </c>
    </row>
    <row r="37" spans="1:11" x14ac:dyDescent="0.35">
      <c r="A37">
        <v>36</v>
      </c>
      <c r="B37" s="1">
        <v>45713</v>
      </c>
      <c r="C37" t="s">
        <v>9</v>
      </c>
      <c r="D37" t="s">
        <v>10</v>
      </c>
      <c r="E37" t="s">
        <v>15</v>
      </c>
      <c r="F37" t="s">
        <v>40</v>
      </c>
      <c r="G37" t="s">
        <v>28</v>
      </c>
      <c r="H37">
        <v>12316</v>
      </c>
      <c r="I37">
        <v>10577</v>
      </c>
      <c r="J37">
        <f t="shared" si="0"/>
        <v>1739</v>
      </c>
      <c r="K37" s="6">
        <f t="shared" si="1"/>
        <v>0.14119844105228971</v>
      </c>
    </row>
    <row r="38" spans="1:11" x14ac:dyDescent="0.35">
      <c r="A38">
        <v>37</v>
      </c>
      <c r="B38" s="1">
        <v>45658</v>
      </c>
      <c r="C38" t="s">
        <v>9</v>
      </c>
      <c r="D38" t="s">
        <v>18</v>
      </c>
      <c r="E38" t="s">
        <v>26</v>
      </c>
      <c r="F38" t="s">
        <v>53</v>
      </c>
      <c r="G38" t="s">
        <v>33</v>
      </c>
      <c r="H38">
        <v>5269</v>
      </c>
      <c r="I38">
        <v>3833</v>
      </c>
      <c r="J38">
        <f t="shared" si="0"/>
        <v>1436</v>
      </c>
      <c r="K38" s="6">
        <f t="shared" si="1"/>
        <v>0.27253748339343331</v>
      </c>
    </row>
    <row r="39" spans="1:11" x14ac:dyDescent="0.35">
      <c r="A39">
        <v>38</v>
      </c>
      <c r="B39" s="1">
        <v>45661</v>
      </c>
      <c r="C39" t="s">
        <v>14</v>
      </c>
      <c r="D39" t="s">
        <v>10</v>
      </c>
      <c r="E39" t="s">
        <v>15</v>
      </c>
      <c r="F39" t="s">
        <v>43</v>
      </c>
      <c r="G39" t="s">
        <v>33</v>
      </c>
      <c r="H39">
        <v>23738</v>
      </c>
      <c r="I39">
        <v>16560</v>
      </c>
      <c r="J39">
        <f t="shared" si="0"/>
        <v>7178</v>
      </c>
      <c r="K39" s="6">
        <f t="shared" si="1"/>
        <v>0.30238436262532647</v>
      </c>
    </row>
    <row r="40" spans="1:11" x14ac:dyDescent="0.35">
      <c r="A40">
        <v>39</v>
      </c>
      <c r="B40" s="1">
        <v>45717</v>
      </c>
      <c r="C40" t="s">
        <v>37</v>
      </c>
      <c r="D40" t="s">
        <v>10</v>
      </c>
      <c r="E40" t="s">
        <v>11</v>
      </c>
      <c r="F40" t="s">
        <v>27</v>
      </c>
      <c r="G40" t="s">
        <v>23</v>
      </c>
      <c r="H40">
        <v>23819</v>
      </c>
      <c r="I40">
        <v>17508</v>
      </c>
      <c r="J40">
        <f t="shared" si="0"/>
        <v>6311</v>
      </c>
      <c r="K40" s="6">
        <f t="shared" si="1"/>
        <v>0.26495654729417689</v>
      </c>
    </row>
    <row r="41" spans="1:11" x14ac:dyDescent="0.35">
      <c r="A41">
        <v>40</v>
      </c>
      <c r="B41" s="1">
        <v>45696</v>
      </c>
      <c r="C41" t="s">
        <v>14</v>
      </c>
      <c r="D41" t="s">
        <v>18</v>
      </c>
      <c r="E41" t="s">
        <v>26</v>
      </c>
      <c r="F41" t="s">
        <v>38</v>
      </c>
      <c r="G41" t="s">
        <v>23</v>
      </c>
      <c r="H41">
        <v>4280</v>
      </c>
      <c r="I41">
        <v>2925</v>
      </c>
      <c r="J41">
        <f t="shared" si="0"/>
        <v>1355</v>
      </c>
      <c r="K41" s="6">
        <f t="shared" si="1"/>
        <v>0.31658878504672899</v>
      </c>
    </row>
    <row r="42" spans="1:11" x14ac:dyDescent="0.35">
      <c r="A42">
        <v>41</v>
      </c>
      <c r="B42" s="1">
        <v>45691</v>
      </c>
      <c r="C42" t="s">
        <v>17</v>
      </c>
      <c r="D42" t="s">
        <v>18</v>
      </c>
      <c r="E42" t="s">
        <v>26</v>
      </c>
      <c r="F42" t="s">
        <v>54</v>
      </c>
      <c r="G42" t="s">
        <v>33</v>
      </c>
      <c r="H42">
        <v>18083</v>
      </c>
      <c r="I42">
        <v>13861</v>
      </c>
      <c r="J42">
        <f t="shared" si="0"/>
        <v>4222</v>
      </c>
      <c r="K42" s="6">
        <f t="shared" si="1"/>
        <v>0.23347895813747718</v>
      </c>
    </row>
    <row r="43" spans="1:11" x14ac:dyDescent="0.35">
      <c r="A43">
        <v>42</v>
      </c>
      <c r="B43" s="1">
        <v>45681</v>
      </c>
      <c r="C43" t="s">
        <v>14</v>
      </c>
      <c r="D43" t="s">
        <v>10</v>
      </c>
      <c r="E43" t="s">
        <v>15</v>
      </c>
      <c r="F43" t="s">
        <v>46</v>
      </c>
      <c r="G43" t="s">
        <v>13</v>
      </c>
      <c r="H43">
        <v>22615</v>
      </c>
      <c r="I43">
        <v>14629</v>
      </c>
      <c r="J43">
        <f t="shared" si="0"/>
        <v>7986</v>
      </c>
      <c r="K43" s="6">
        <f t="shared" si="1"/>
        <v>0.35312845456555386</v>
      </c>
    </row>
    <row r="44" spans="1:11" x14ac:dyDescent="0.35">
      <c r="A44">
        <v>43</v>
      </c>
      <c r="B44" s="1">
        <v>45668</v>
      </c>
      <c r="C44" t="s">
        <v>17</v>
      </c>
      <c r="D44" t="s">
        <v>18</v>
      </c>
      <c r="E44" t="s">
        <v>32</v>
      </c>
      <c r="F44" t="s">
        <v>12</v>
      </c>
      <c r="G44" t="s">
        <v>33</v>
      </c>
      <c r="H44">
        <v>16811</v>
      </c>
      <c r="I44">
        <v>13746</v>
      </c>
      <c r="J44">
        <f t="shared" si="0"/>
        <v>3065</v>
      </c>
      <c r="K44" s="6">
        <f t="shared" si="1"/>
        <v>0.18232109928023318</v>
      </c>
    </row>
    <row r="45" spans="1:11" x14ac:dyDescent="0.35">
      <c r="A45">
        <v>44</v>
      </c>
      <c r="B45" s="1">
        <v>45682</v>
      </c>
      <c r="C45" t="s">
        <v>37</v>
      </c>
      <c r="D45" t="s">
        <v>10</v>
      </c>
      <c r="E45" t="s">
        <v>21</v>
      </c>
      <c r="F45" t="s">
        <v>53</v>
      </c>
      <c r="G45" t="s">
        <v>13</v>
      </c>
      <c r="H45">
        <v>12859</v>
      </c>
      <c r="I45">
        <v>8499</v>
      </c>
      <c r="J45">
        <f t="shared" si="0"/>
        <v>4360</v>
      </c>
      <c r="K45" s="6">
        <f t="shared" si="1"/>
        <v>0.33906213546932112</v>
      </c>
    </row>
    <row r="46" spans="1:11" x14ac:dyDescent="0.35">
      <c r="A46">
        <v>45</v>
      </c>
      <c r="B46" s="1">
        <v>45694</v>
      </c>
      <c r="C46" t="s">
        <v>37</v>
      </c>
      <c r="D46" t="s">
        <v>18</v>
      </c>
      <c r="E46" t="s">
        <v>29</v>
      </c>
      <c r="F46" t="s">
        <v>41</v>
      </c>
      <c r="G46" t="s">
        <v>33</v>
      </c>
      <c r="H46">
        <v>9025</v>
      </c>
      <c r="I46">
        <v>5975</v>
      </c>
      <c r="J46">
        <f t="shared" si="0"/>
        <v>3050</v>
      </c>
      <c r="K46" s="6">
        <f t="shared" si="1"/>
        <v>0.33795013850415512</v>
      </c>
    </row>
    <row r="47" spans="1:11" x14ac:dyDescent="0.35">
      <c r="A47">
        <v>46</v>
      </c>
      <c r="B47" s="1">
        <v>45704</v>
      </c>
      <c r="C47" t="s">
        <v>14</v>
      </c>
      <c r="D47" t="s">
        <v>10</v>
      </c>
      <c r="E47" t="s">
        <v>42</v>
      </c>
      <c r="F47" t="s">
        <v>52</v>
      </c>
      <c r="G47" t="s">
        <v>35</v>
      </c>
      <c r="H47">
        <v>27125</v>
      </c>
      <c r="I47">
        <v>24151</v>
      </c>
      <c r="J47">
        <f t="shared" si="0"/>
        <v>2974</v>
      </c>
      <c r="K47" s="6">
        <f t="shared" si="1"/>
        <v>0.1096405529953917</v>
      </c>
    </row>
    <row r="48" spans="1:11" x14ac:dyDescent="0.35">
      <c r="A48">
        <v>47</v>
      </c>
      <c r="B48" s="1">
        <v>45663</v>
      </c>
      <c r="C48" t="s">
        <v>37</v>
      </c>
      <c r="D48" t="s">
        <v>18</v>
      </c>
      <c r="E48" t="s">
        <v>32</v>
      </c>
      <c r="F48" t="s">
        <v>53</v>
      </c>
      <c r="G48" t="s">
        <v>28</v>
      </c>
      <c r="H48">
        <v>4910</v>
      </c>
      <c r="I48">
        <v>3805</v>
      </c>
      <c r="J48">
        <f t="shared" si="0"/>
        <v>1105</v>
      </c>
      <c r="K48" s="6">
        <f t="shared" si="1"/>
        <v>0.225050916496945</v>
      </c>
    </row>
    <row r="49" spans="1:11" x14ac:dyDescent="0.35">
      <c r="A49">
        <v>48</v>
      </c>
      <c r="B49" s="1">
        <v>45687</v>
      </c>
      <c r="C49" t="s">
        <v>17</v>
      </c>
      <c r="D49" t="s">
        <v>10</v>
      </c>
      <c r="E49" t="s">
        <v>42</v>
      </c>
      <c r="F49" t="s">
        <v>50</v>
      </c>
      <c r="G49" t="s">
        <v>33</v>
      </c>
      <c r="H49">
        <v>13768</v>
      </c>
      <c r="I49">
        <v>10313</v>
      </c>
      <c r="J49">
        <f t="shared" si="0"/>
        <v>3455</v>
      </c>
      <c r="K49" s="6">
        <f t="shared" si="1"/>
        <v>0.25094421847762927</v>
      </c>
    </row>
    <row r="50" spans="1:11" x14ac:dyDescent="0.35">
      <c r="A50">
        <v>49</v>
      </c>
      <c r="B50" s="1">
        <v>45681</v>
      </c>
      <c r="C50" t="s">
        <v>17</v>
      </c>
      <c r="D50" t="s">
        <v>10</v>
      </c>
      <c r="E50" t="s">
        <v>15</v>
      </c>
      <c r="F50" t="s">
        <v>44</v>
      </c>
      <c r="G50" t="s">
        <v>35</v>
      </c>
      <c r="H50">
        <v>28518</v>
      </c>
      <c r="I50">
        <v>25660</v>
      </c>
      <c r="J50">
        <f t="shared" si="0"/>
        <v>2858</v>
      </c>
      <c r="K50" s="6">
        <f t="shared" si="1"/>
        <v>0.10021740655024897</v>
      </c>
    </row>
    <row r="51" spans="1:11" x14ac:dyDescent="0.35">
      <c r="A51">
        <v>50</v>
      </c>
      <c r="B51" s="1">
        <v>45706</v>
      </c>
      <c r="C51" t="s">
        <v>37</v>
      </c>
      <c r="D51" t="s">
        <v>10</v>
      </c>
      <c r="E51" t="s">
        <v>11</v>
      </c>
      <c r="F51" t="s">
        <v>54</v>
      </c>
      <c r="G51" t="s">
        <v>28</v>
      </c>
      <c r="H51">
        <v>24630</v>
      </c>
      <c r="I51">
        <v>16859</v>
      </c>
      <c r="J51">
        <f t="shared" si="0"/>
        <v>7771</v>
      </c>
      <c r="K51" s="6">
        <f t="shared" si="1"/>
        <v>0.3155095412099066</v>
      </c>
    </row>
    <row r="52" spans="1:11" x14ac:dyDescent="0.35">
      <c r="A52">
        <v>51</v>
      </c>
      <c r="B52" s="1">
        <v>45686</v>
      </c>
      <c r="C52" t="s">
        <v>17</v>
      </c>
      <c r="D52" t="s">
        <v>18</v>
      </c>
      <c r="E52" t="s">
        <v>19</v>
      </c>
      <c r="F52" t="s">
        <v>24</v>
      </c>
      <c r="G52" t="s">
        <v>33</v>
      </c>
      <c r="H52">
        <v>5943</v>
      </c>
      <c r="I52">
        <v>4384</v>
      </c>
      <c r="J52">
        <f t="shared" si="0"/>
        <v>1559</v>
      </c>
      <c r="K52" s="6">
        <f t="shared" si="1"/>
        <v>0.26232542486959448</v>
      </c>
    </row>
    <row r="53" spans="1:11" x14ac:dyDescent="0.35">
      <c r="A53">
        <v>52</v>
      </c>
      <c r="B53" s="1">
        <v>45700</v>
      </c>
      <c r="C53" t="s">
        <v>9</v>
      </c>
      <c r="D53" t="s">
        <v>10</v>
      </c>
      <c r="E53" t="s">
        <v>42</v>
      </c>
      <c r="F53" t="s">
        <v>52</v>
      </c>
      <c r="G53" t="s">
        <v>13</v>
      </c>
      <c r="H53">
        <v>12216</v>
      </c>
      <c r="I53">
        <v>8895</v>
      </c>
      <c r="J53">
        <f t="shared" si="0"/>
        <v>3321</v>
      </c>
      <c r="K53" s="6">
        <f t="shared" si="1"/>
        <v>0.27185658153241649</v>
      </c>
    </row>
    <row r="54" spans="1:11" x14ac:dyDescent="0.35">
      <c r="A54">
        <v>53</v>
      </c>
      <c r="B54" s="1">
        <v>45669</v>
      </c>
      <c r="C54" t="s">
        <v>14</v>
      </c>
      <c r="D54" t="s">
        <v>10</v>
      </c>
      <c r="E54" t="s">
        <v>42</v>
      </c>
      <c r="F54" t="s">
        <v>30</v>
      </c>
      <c r="G54" t="s">
        <v>28</v>
      </c>
      <c r="H54">
        <v>22306</v>
      </c>
      <c r="I54">
        <v>15746</v>
      </c>
      <c r="J54">
        <f t="shared" si="0"/>
        <v>6560</v>
      </c>
      <c r="K54" s="6">
        <f t="shared" si="1"/>
        <v>0.29409127588989509</v>
      </c>
    </row>
    <row r="55" spans="1:11" x14ac:dyDescent="0.35">
      <c r="A55">
        <v>54</v>
      </c>
      <c r="B55" s="1">
        <v>45667</v>
      </c>
      <c r="C55" t="s">
        <v>17</v>
      </c>
      <c r="D55" t="s">
        <v>10</v>
      </c>
      <c r="E55" t="s">
        <v>15</v>
      </c>
      <c r="F55" t="s">
        <v>20</v>
      </c>
      <c r="G55" t="s">
        <v>23</v>
      </c>
      <c r="H55">
        <v>17746</v>
      </c>
      <c r="I55">
        <v>11244</v>
      </c>
      <c r="J55">
        <f t="shared" si="0"/>
        <v>6502</v>
      </c>
      <c r="K55" s="6">
        <f t="shared" si="1"/>
        <v>0.36639242646230136</v>
      </c>
    </row>
    <row r="56" spans="1:11" x14ac:dyDescent="0.35">
      <c r="A56">
        <v>55</v>
      </c>
      <c r="B56" s="1">
        <v>45717</v>
      </c>
      <c r="C56" t="s">
        <v>9</v>
      </c>
      <c r="D56" t="s">
        <v>18</v>
      </c>
      <c r="E56" t="s">
        <v>32</v>
      </c>
      <c r="F56" t="s">
        <v>38</v>
      </c>
      <c r="G56" t="s">
        <v>28</v>
      </c>
      <c r="H56">
        <v>17314</v>
      </c>
      <c r="I56">
        <v>12062</v>
      </c>
      <c r="J56">
        <f t="shared" si="0"/>
        <v>5252</v>
      </c>
      <c r="K56" s="6">
        <f t="shared" si="1"/>
        <v>0.30333833891648376</v>
      </c>
    </row>
    <row r="57" spans="1:11" x14ac:dyDescent="0.35">
      <c r="A57">
        <v>56</v>
      </c>
      <c r="B57" s="1">
        <v>45678</v>
      </c>
      <c r="C57" t="s">
        <v>17</v>
      </c>
      <c r="D57" t="s">
        <v>10</v>
      </c>
      <c r="E57" t="s">
        <v>11</v>
      </c>
      <c r="F57" t="s">
        <v>48</v>
      </c>
      <c r="G57" t="s">
        <v>33</v>
      </c>
      <c r="H57">
        <v>26570</v>
      </c>
      <c r="I57">
        <v>20277</v>
      </c>
      <c r="J57">
        <f t="shared" si="0"/>
        <v>6293</v>
      </c>
      <c r="K57" s="6">
        <f t="shared" si="1"/>
        <v>0.23684606699284907</v>
      </c>
    </row>
    <row r="58" spans="1:11" x14ac:dyDescent="0.35">
      <c r="A58">
        <v>57</v>
      </c>
      <c r="B58" s="1">
        <v>45673</v>
      </c>
      <c r="C58" t="s">
        <v>9</v>
      </c>
      <c r="D58" t="s">
        <v>10</v>
      </c>
      <c r="E58" t="s">
        <v>42</v>
      </c>
      <c r="F58" t="s">
        <v>55</v>
      </c>
      <c r="G58" t="s">
        <v>35</v>
      </c>
      <c r="H58">
        <v>18440</v>
      </c>
      <c r="I58">
        <v>14772</v>
      </c>
      <c r="J58">
        <f t="shared" si="0"/>
        <v>3668</v>
      </c>
      <c r="K58" s="6">
        <f t="shared" si="1"/>
        <v>0.19891540130151844</v>
      </c>
    </row>
    <row r="59" spans="1:11" x14ac:dyDescent="0.35">
      <c r="A59">
        <v>58</v>
      </c>
      <c r="B59" s="1">
        <v>45677</v>
      </c>
      <c r="C59" t="s">
        <v>17</v>
      </c>
      <c r="D59" t="s">
        <v>10</v>
      </c>
      <c r="E59" t="s">
        <v>21</v>
      </c>
      <c r="F59" t="s">
        <v>55</v>
      </c>
      <c r="G59" t="s">
        <v>28</v>
      </c>
      <c r="H59">
        <v>18052</v>
      </c>
      <c r="I59">
        <v>16236</v>
      </c>
      <c r="J59">
        <f t="shared" si="0"/>
        <v>1816</v>
      </c>
      <c r="K59" s="6">
        <f t="shared" si="1"/>
        <v>0.10059827165964991</v>
      </c>
    </row>
    <row r="60" spans="1:11" x14ac:dyDescent="0.35">
      <c r="A60">
        <v>59</v>
      </c>
      <c r="B60" s="1">
        <v>45660</v>
      </c>
      <c r="C60" t="s">
        <v>14</v>
      </c>
      <c r="D60" t="s">
        <v>18</v>
      </c>
      <c r="E60" t="s">
        <v>29</v>
      </c>
      <c r="F60" t="s">
        <v>22</v>
      </c>
      <c r="G60" t="s">
        <v>28</v>
      </c>
      <c r="H60">
        <v>27796</v>
      </c>
      <c r="I60">
        <v>18235</v>
      </c>
      <c r="J60">
        <f t="shared" si="0"/>
        <v>9561</v>
      </c>
      <c r="K60" s="6">
        <f t="shared" si="1"/>
        <v>0.34397035544682686</v>
      </c>
    </row>
    <row r="61" spans="1:11" x14ac:dyDescent="0.35">
      <c r="A61">
        <v>60</v>
      </c>
      <c r="B61" s="1">
        <v>45683</v>
      </c>
      <c r="C61" t="s">
        <v>9</v>
      </c>
      <c r="D61" t="s">
        <v>10</v>
      </c>
      <c r="E61" t="s">
        <v>15</v>
      </c>
      <c r="F61" t="s">
        <v>56</v>
      </c>
      <c r="G61" t="s">
        <v>23</v>
      </c>
      <c r="H61">
        <v>21524</v>
      </c>
      <c r="I61">
        <v>14147</v>
      </c>
      <c r="J61">
        <f t="shared" si="0"/>
        <v>7377</v>
      </c>
      <c r="K61" s="6">
        <f t="shared" si="1"/>
        <v>0.34273369262218917</v>
      </c>
    </row>
    <row r="62" spans="1:11" x14ac:dyDescent="0.35">
      <c r="A62">
        <v>61</v>
      </c>
      <c r="B62" s="1">
        <v>45689</v>
      </c>
      <c r="C62" t="s">
        <v>9</v>
      </c>
      <c r="D62" t="s">
        <v>18</v>
      </c>
      <c r="E62" t="s">
        <v>19</v>
      </c>
      <c r="F62" t="s">
        <v>57</v>
      </c>
      <c r="G62" t="s">
        <v>13</v>
      </c>
      <c r="H62">
        <v>17658</v>
      </c>
      <c r="I62">
        <v>11884</v>
      </c>
      <c r="J62">
        <f t="shared" si="0"/>
        <v>5774</v>
      </c>
      <c r="K62" s="6">
        <f t="shared" si="1"/>
        <v>0.32699059916185297</v>
      </c>
    </row>
    <row r="63" spans="1:11" x14ac:dyDescent="0.35">
      <c r="A63">
        <v>62</v>
      </c>
      <c r="B63" s="1">
        <v>45659</v>
      </c>
      <c r="C63" t="s">
        <v>17</v>
      </c>
      <c r="D63" t="s">
        <v>18</v>
      </c>
      <c r="E63" t="s">
        <v>32</v>
      </c>
      <c r="F63" t="s">
        <v>58</v>
      </c>
      <c r="G63" t="s">
        <v>33</v>
      </c>
      <c r="H63">
        <v>16751</v>
      </c>
      <c r="I63">
        <v>12144</v>
      </c>
      <c r="J63">
        <f t="shared" si="0"/>
        <v>4607</v>
      </c>
      <c r="K63" s="6">
        <f t="shared" si="1"/>
        <v>0.27502835651602892</v>
      </c>
    </row>
    <row r="64" spans="1:11" x14ac:dyDescent="0.35">
      <c r="A64">
        <v>63</v>
      </c>
      <c r="B64" s="1">
        <v>45663</v>
      </c>
      <c r="C64" t="s">
        <v>17</v>
      </c>
      <c r="D64" t="s">
        <v>18</v>
      </c>
      <c r="E64" t="s">
        <v>32</v>
      </c>
      <c r="F64" t="s">
        <v>25</v>
      </c>
      <c r="G64" t="s">
        <v>13</v>
      </c>
      <c r="H64">
        <v>5069</v>
      </c>
      <c r="I64">
        <v>3665</v>
      </c>
      <c r="J64">
        <f t="shared" si="0"/>
        <v>1404</v>
      </c>
      <c r="K64" s="6">
        <f t="shared" si="1"/>
        <v>0.27697770763464197</v>
      </c>
    </row>
    <row r="65" spans="1:11" x14ac:dyDescent="0.35">
      <c r="A65">
        <v>64</v>
      </c>
      <c r="B65" s="1">
        <v>45704</v>
      </c>
      <c r="C65" t="s">
        <v>37</v>
      </c>
      <c r="D65" t="s">
        <v>10</v>
      </c>
      <c r="E65" t="s">
        <v>15</v>
      </c>
      <c r="F65" t="s">
        <v>59</v>
      </c>
      <c r="G65" t="s">
        <v>35</v>
      </c>
      <c r="H65">
        <v>29735</v>
      </c>
      <c r="I65">
        <v>24687</v>
      </c>
      <c r="J65">
        <f t="shared" si="0"/>
        <v>5048</v>
      </c>
      <c r="K65" s="6">
        <f t="shared" si="1"/>
        <v>0.16976626870691106</v>
      </c>
    </row>
    <row r="66" spans="1:11" x14ac:dyDescent="0.35">
      <c r="A66">
        <v>65</v>
      </c>
      <c r="B66" s="1">
        <v>45670</v>
      </c>
      <c r="C66" t="s">
        <v>17</v>
      </c>
      <c r="D66" t="s">
        <v>10</v>
      </c>
      <c r="E66" t="s">
        <v>21</v>
      </c>
      <c r="F66" t="s">
        <v>60</v>
      </c>
      <c r="G66" t="s">
        <v>35</v>
      </c>
      <c r="H66">
        <v>15491</v>
      </c>
      <c r="I66">
        <v>9853</v>
      </c>
      <c r="J66">
        <f t="shared" si="0"/>
        <v>5638</v>
      </c>
      <c r="K66" s="6">
        <f t="shared" si="1"/>
        <v>0.3639532631850752</v>
      </c>
    </row>
    <row r="67" spans="1:11" x14ac:dyDescent="0.35">
      <c r="A67">
        <v>66</v>
      </c>
      <c r="B67" s="1">
        <v>45713</v>
      </c>
      <c r="C67" t="s">
        <v>17</v>
      </c>
      <c r="D67" t="s">
        <v>10</v>
      </c>
      <c r="E67" t="s">
        <v>15</v>
      </c>
      <c r="F67" t="s">
        <v>61</v>
      </c>
      <c r="G67" t="s">
        <v>33</v>
      </c>
      <c r="H67">
        <v>28106</v>
      </c>
      <c r="I67">
        <v>25013</v>
      </c>
      <c r="J67">
        <f t="shared" ref="J67:J130" si="2">H67-I67</f>
        <v>3093</v>
      </c>
      <c r="K67" s="6">
        <f t="shared" ref="K67:K130" si="3">J67/H67</f>
        <v>0.11004767665267202</v>
      </c>
    </row>
    <row r="68" spans="1:11" x14ac:dyDescent="0.35">
      <c r="A68">
        <v>67</v>
      </c>
      <c r="B68" s="1">
        <v>45688</v>
      </c>
      <c r="C68" t="s">
        <v>14</v>
      </c>
      <c r="D68" t="s">
        <v>18</v>
      </c>
      <c r="E68" t="s">
        <v>29</v>
      </c>
      <c r="F68" t="s">
        <v>55</v>
      </c>
      <c r="G68" t="s">
        <v>35</v>
      </c>
      <c r="H68">
        <v>23089</v>
      </c>
      <c r="I68">
        <v>19254</v>
      </c>
      <c r="J68">
        <f t="shared" si="2"/>
        <v>3835</v>
      </c>
      <c r="K68" s="6">
        <f t="shared" si="3"/>
        <v>0.16609640954567109</v>
      </c>
    </row>
    <row r="69" spans="1:11" x14ac:dyDescent="0.35">
      <c r="A69">
        <v>68</v>
      </c>
      <c r="B69" s="1">
        <v>45678</v>
      </c>
      <c r="C69" t="s">
        <v>14</v>
      </c>
      <c r="D69" t="s">
        <v>18</v>
      </c>
      <c r="E69" t="s">
        <v>32</v>
      </c>
      <c r="F69" t="s">
        <v>24</v>
      </c>
      <c r="G69" t="s">
        <v>23</v>
      </c>
      <c r="H69">
        <v>20026</v>
      </c>
      <c r="I69">
        <v>17984</v>
      </c>
      <c r="J69">
        <f t="shared" si="2"/>
        <v>2042</v>
      </c>
      <c r="K69" s="6">
        <f t="shared" si="3"/>
        <v>0.10196744232497752</v>
      </c>
    </row>
    <row r="70" spans="1:11" x14ac:dyDescent="0.35">
      <c r="A70">
        <v>69</v>
      </c>
      <c r="B70" s="1">
        <v>45678</v>
      </c>
      <c r="C70" t="s">
        <v>9</v>
      </c>
      <c r="D70" t="s">
        <v>18</v>
      </c>
      <c r="E70" t="s">
        <v>26</v>
      </c>
      <c r="F70" t="s">
        <v>36</v>
      </c>
      <c r="G70" t="s">
        <v>13</v>
      </c>
      <c r="H70">
        <v>3988</v>
      </c>
      <c r="I70">
        <v>2714</v>
      </c>
      <c r="J70">
        <f t="shared" si="2"/>
        <v>1274</v>
      </c>
      <c r="K70" s="6">
        <f t="shared" si="3"/>
        <v>0.31945837512537612</v>
      </c>
    </row>
    <row r="71" spans="1:11" x14ac:dyDescent="0.35">
      <c r="A71">
        <v>70</v>
      </c>
      <c r="B71" s="1">
        <v>45668</v>
      </c>
      <c r="C71" t="s">
        <v>17</v>
      </c>
      <c r="D71" t="s">
        <v>10</v>
      </c>
      <c r="E71" t="s">
        <v>42</v>
      </c>
      <c r="F71" t="s">
        <v>22</v>
      </c>
      <c r="G71" t="s">
        <v>23</v>
      </c>
      <c r="H71">
        <v>9205</v>
      </c>
      <c r="I71">
        <v>8026</v>
      </c>
      <c r="J71">
        <f t="shared" si="2"/>
        <v>1179</v>
      </c>
      <c r="K71" s="6">
        <f t="shared" si="3"/>
        <v>0.12808256382400868</v>
      </c>
    </row>
    <row r="72" spans="1:11" x14ac:dyDescent="0.35">
      <c r="A72">
        <v>71</v>
      </c>
      <c r="B72" s="1">
        <v>45669</v>
      </c>
      <c r="C72" t="s">
        <v>37</v>
      </c>
      <c r="D72" t="s">
        <v>18</v>
      </c>
      <c r="E72" t="s">
        <v>26</v>
      </c>
      <c r="F72" t="s">
        <v>31</v>
      </c>
      <c r="G72" t="s">
        <v>28</v>
      </c>
      <c r="H72">
        <v>28902</v>
      </c>
      <c r="I72">
        <v>19105</v>
      </c>
      <c r="J72">
        <f t="shared" si="2"/>
        <v>9797</v>
      </c>
      <c r="K72" s="6">
        <f t="shared" si="3"/>
        <v>0.3389730814476507</v>
      </c>
    </row>
    <row r="73" spans="1:11" x14ac:dyDescent="0.35">
      <c r="A73">
        <v>72</v>
      </c>
      <c r="B73" s="1">
        <v>45690</v>
      </c>
      <c r="C73" t="s">
        <v>37</v>
      </c>
      <c r="D73" t="s">
        <v>18</v>
      </c>
      <c r="E73" t="s">
        <v>26</v>
      </c>
      <c r="F73" t="s">
        <v>62</v>
      </c>
      <c r="G73" t="s">
        <v>23</v>
      </c>
      <c r="H73">
        <v>17678</v>
      </c>
      <c r="I73">
        <v>14746</v>
      </c>
      <c r="J73">
        <f t="shared" si="2"/>
        <v>2932</v>
      </c>
      <c r="K73" s="6">
        <f t="shared" si="3"/>
        <v>0.16585586604819549</v>
      </c>
    </row>
    <row r="74" spans="1:11" x14ac:dyDescent="0.35">
      <c r="A74">
        <v>73</v>
      </c>
      <c r="B74" s="1">
        <v>45676</v>
      </c>
      <c r="C74" t="s">
        <v>9</v>
      </c>
      <c r="D74" t="s">
        <v>18</v>
      </c>
      <c r="E74" t="s">
        <v>29</v>
      </c>
      <c r="F74" t="s">
        <v>53</v>
      </c>
      <c r="G74" t="s">
        <v>35</v>
      </c>
      <c r="H74">
        <v>26496</v>
      </c>
      <c r="I74">
        <v>23793</v>
      </c>
      <c r="J74">
        <f t="shared" si="2"/>
        <v>2703</v>
      </c>
      <c r="K74" s="6">
        <f t="shared" si="3"/>
        <v>0.10201539855072464</v>
      </c>
    </row>
    <row r="75" spans="1:11" x14ac:dyDescent="0.35">
      <c r="A75">
        <v>74</v>
      </c>
      <c r="B75" s="1">
        <v>45702</v>
      </c>
      <c r="C75" t="s">
        <v>14</v>
      </c>
      <c r="D75" t="s">
        <v>18</v>
      </c>
      <c r="E75" t="s">
        <v>32</v>
      </c>
      <c r="F75" t="s">
        <v>63</v>
      </c>
      <c r="G75" t="s">
        <v>23</v>
      </c>
      <c r="H75">
        <v>6369</v>
      </c>
      <c r="I75">
        <v>5405</v>
      </c>
      <c r="J75">
        <f t="shared" si="2"/>
        <v>964</v>
      </c>
      <c r="K75" s="6">
        <f t="shared" si="3"/>
        <v>0.1513581409954467</v>
      </c>
    </row>
    <row r="76" spans="1:11" x14ac:dyDescent="0.35">
      <c r="A76">
        <v>75</v>
      </c>
      <c r="B76" s="1">
        <v>45670</v>
      </c>
      <c r="C76" t="s">
        <v>9</v>
      </c>
      <c r="D76" t="s">
        <v>18</v>
      </c>
      <c r="E76" t="s">
        <v>19</v>
      </c>
      <c r="F76" t="s">
        <v>22</v>
      </c>
      <c r="G76" t="s">
        <v>35</v>
      </c>
      <c r="H76">
        <v>17004</v>
      </c>
      <c r="I76">
        <v>10698</v>
      </c>
      <c r="J76">
        <f t="shared" si="2"/>
        <v>6306</v>
      </c>
      <c r="K76" s="6">
        <f t="shared" si="3"/>
        <v>0.37085391672547635</v>
      </c>
    </row>
    <row r="77" spans="1:11" x14ac:dyDescent="0.35">
      <c r="A77">
        <v>76</v>
      </c>
      <c r="B77" s="1">
        <v>45695</v>
      </c>
      <c r="C77" t="s">
        <v>9</v>
      </c>
      <c r="D77" t="s">
        <v>10</v>
      </c>
      <c r="E77" t="s">
        <v>11</v>
      </c>
      <c r="F77" t="s">
        <v>45</v>
      </c>
      <c r="G77" t="s">
        <v>28</v>
      </c>
      <c r="H77">
        <v>5148</v>
      </c>
      <c r="I77">
        <v>3856</v>
      </c>
      <c r="J77">
        <f t="shared" si="2"/>
        <v>1292</v>
      </c>
      <c r="K77" s="6">
        <f t="shared" si="3"/>
        <v>0.25097125097125095</v>
      </c>
    </row>
    <row r="78" spans="1:11" x14ac:dyDescent="0.35">
      <c r="A78">
        <v>77</v>
      </c>
      <c r="B78" s="1">
        <v>45676</v>
      </c>
      <c r="C78" t="s">
        <v>9</v>
      </c>
      <c r="D78" t="s">
        <v>18</v>
      </c>
      <c r="E78" t="s">
        <v>26</v>
      </c>
      <c r="F78" t="s">
        <v>64</v>
      </c>
      <c r="G78" t="s">
        <v>33</v>
      </c>
      <c r="H78">
        <v>5919</v>
      </c>
      <c r="I78">
        <v>5047</v>
      </c>
      <c r="J78">
        <f t="shared" si="2"/>
        <v>872</v>
      </c>
      <c r="K78" s="6">
        <f t="shared" si="3"/>
        <v>0.14732218280114884</v>
      </c>
    </row>
    <row r="79" spans="1:11" x14ac:dyDescent="0.35">
      <c r="A79">
        <v>78</v>
      </c>
      <c r="B79" s="1">
        <v>45696</v>
      </c>
      <c r="C79" t="s">
        <v>9</v>
      </c>
      <c r="D79" t="s">
        <v>10</v>
      </c>
      <c r="E79" t="s">
        <v>42</v>
      </c>
      <c r="F79" t="s">
        <v>56</v>
      </c>
      <c r="G79" t="s">
        <v>33</v>
      </c>
      <c r="H79">
        <v>12848</v>
      </c>
      <c r="I79">
        <v>10792</v>
      </c>
      <c r="J79">
        <f t="shared" si="2"/>
        <v>2056</v>
      </c>
      <c r="K79" s="6">
        <f t="shared" si="3"/>
        <v>0.16002490660024907</v>
      </c>
    </row>
    <row r="80" spans="1:11" x14ac:dyDescent="0.35">
      <c r="A80">
        <v>79</v>
      </c>
      <c r="B80" s="1">
        <v>45663</v>
      </c>
      <c r="C80" t="s">
        <v>37</v>
      </c>
      <c r="D80" t="s">
        <v>10</v>
      </c>
      <c r="E80" t="s">
        <v>42</v>
      </c>
      <c r="F80" t="s">
        <v>39</v>
      </c>
      <c r="G80" t="s">
        <v>23</v>
      </c>
      <c r="H80">
        <v>12268</v>
      </c>
      <c r="I80">
        <v>8818</v>
      </c>
      <c r="J80">
        <f t="shared" si="2"/>
        <v>3450</v>
      </c>
      <c r="K80" s="6">
        <f t="shared" si="3"/>
        <v>0.28121943267036192</v>
      </c>
    </row>
    <row r="81" spans="1:11" x14ac:dyDescent="0.35">
      <c r="A81">
        <v>80</v>
      </c>
      <c r="B81" s="1">
        <v>45705</v>
      </c>
      <c r="C81" t="s">
        <v>37</v>
      </c>
      <c r="D81" t="s">
        <v>18</v>
      </c>
      <c r="E81" t="s">
        <v>29</v>
      </c>
      <c r="F81" t="s">
        <v>40</v>
      </c>
      <c r="G81" t="s">
        <v>23</v>
      </c>
      <c r="H81">
        <v>26582</v>
      </c>
      <c r="I81">
        <v>19041</v>
      </c>
      <c r="J81">
        <f t="shared" si="2"/>
        <v>7541</v>
      </c>
      <c r="K81" s="6">
        <f t="shared" si="3"/>
        <v>0.2836882100669626</v>
      </c>
    </row>
    <row r="82" spans="1:11" x14ac:dyDescent="0.35">
      <c r="A82">
        <v>81</v>
      </c>
      <c r="B82" s="1">
        <v>45697</v>
      </c>
      <c r="C82" t="s">
        <v>9</v>
      </c>
      <c r="D82" t="s">
        <v>18</v>
      </c>
      <c r="E82" t="s">
        <v>26</v>
      </c>
      <c r="F82" t="s">
        <v>27</v>
      </c>
      <c r="G82" t="s">
        <v>33</v>
      </c>
      <c r="H82">
        <v>16473</v>
      </c>
      <c r="I82">
        <v>14646</v>
      </c>
      <c r="J82">
        <f t="shared" si="2"/>
        <v>1827</v>
      </c>
      <c r="K82" s="6">
        <f t="shared" si="3"/>
        <v>0.11090875978874522</v>
      </c>
    </row>
    <row r="83" spans="1:11" x14ac:dyDescent="0.35">
      <c r="A83">
        <v>82</v>
      </c>
      <c r="B83" s="1">
        <v>45680</v>
      </c>
      <c r="C83" t="s">
        <v>17</v>
      </c>
      <c r="D83" t="s">
        <v>18</v>
      </c>
      <c r="E83" t="s">
        <v>19</v>
      </c>
      <c r="F83" t="s">
        <v>53</v>
      </c>
      <c r="G83" t="s">
        <v>23</v>
      </c>
      <c r="H83">
        <v>25437</v>
      </c>
      <c r="I83">
        <v>18625</v>
      </c>
      <c r="J83">
        <f t="shared" si="2"/>
        <v>6812</v>
      </c>
      <c r="K83" s="6">
        <f t="shared" si="3"/>
        <v>0.26779887565357552</v>
      </c>
    </row>
    <row r="84" spans="1:11" x14ac:dyDescent="0.35">
      <c r="A84">
        <v>83</v>
      </c>
      <c r="B84" s="1">
        <v>45687</v>
      </c>
      <c r="C84" t="s">
        <v>14</v>
      </c>
      <c r="D84" t="s">
        <v>18</v>
      </c>
      <c r="E84" t="s">
        <v>32</v>
      </c>
      <c r="F84" t="s">
        <v>65</v>
      </c>
      <c r="G84" t="s">
        <v>13</v>
      </c>
      <c r="H84">
        <v>6512</v>
      </c>
      <c r="I84">
        <v>4039</v>
      </c>
      <c r="J84">
        <f t="shared" si="2"/>
        <v>2473</v>
      </c>
      <c r="K84" s="6">
        <f t="shared" si="3"/>
        <v>0.37976044226044225</v>
      </c>
    </row>
    <row r="85" spans="1:11" x14ac:dyDescent="0.35">
      <c r="A85">
        <v>84</v>
      </c>
      <c r="B85" s="1">
        <v>45688</v>
      </c>
      <c r="C85" t="s">
        <v>17</v>
      </c>
      <c r="D85" t="s">
        <v>18</v>
      </c>
      <c r="E85" t="s">
        <v>26</v>
      </c>
      <c r="F85" t="s">
        <v>38</v>
      </c>
      <c r="G85" t="s">
        <v>35</v>
      </c>
      <c r="H85">
        <v>13717</v>
      </c>
      <c r="I85">
        <v>9719</v>
      </c>
      <c r="J85">
        <f t="shared" si="2"/>
        <v>3998</v>
      </c>
      <c r="K85" s="6">
        <f t="shared" si="3"/>
        <v>0.29146314791864109</v>
      </c>
    </row>
    <row r="86" spans="1:11" x14ac:dyDescent="0.35">
      <c r="A86">
        <v>85</v>
      </c>
      <c r="B86" s="1">
        <v>45683</v>
      </c>
      <c r="C86" t="s">
        <v>9</v>
      </c>
      <c r="D86" t="s">
        <v>10</v>
      </c>
      <c r="E86" t="s">
        <v>11</v>
      </c>
      <c r="F86" t="s">
        <v>34</v>
      </c>
      <c r="G86" t="s">
        <v>35</v>
      </c>
      <c r="H86">
        <v>16696</v>
      </c>
      <c r="I86">
        <v>12537</v>
      </c>
      <c r="J86">
        <f t="shared" si="2"/>
        <v>4159</v>
      </c>
      <c r="K86" s="6">
        <f t="shared" si="3"/>
        <v>0.24910158121705797</v>
      </c>
    </row>
    <row r="87" spans="1:11" x14ac:dyDescent="0.35">
      <c r="A87">
        <v>86</v>
      </c>
      <c r="B87" s="1">
        <v>45700</v>
      </c>
      <c r="C87" t="s">
        <v>9</v>
      </c>
      <c r="D87" t="s">
        <v>18</v>
      </c>
      <c r="E87" t="s">
        <v>32</v>
      </c>
      <c r="F87" t="s">
        <v>49</v>
      </c>
      <c r="G87" t="s">
        <v>13</v>
      </c>
      <c r="H87">
        <v>16152</v>
      </c>
      <c r="I87">
        <v>13688</v>
      </c>
      <c r="J87">
        <f t="shared" si="2"/>
        <v>2464</v>
      </c>
      <c r="K87" s="6">
        <f t="shared" si="3"/>
        <v>0.15255076770678555</v>
      </c>
    </row>
    <row r="88" spans="1:11" x14ac:dyDescent="0.35">
      <c r="A88">
        <v>87</v>
      </c>
      <c r="B88" s="1">
        <v>45705</v>
      </c>
      <c r="C88" t="s">
        <v>9</v>
      </c>
      <c r="D88" t="s">
        <v>18</v>
      </c>
      <c r="E88" t="s">
        <v>32</v>
      </c>
      <c r="F88" t="s">
        <v>50</v>
      </c>
      <c r="G88" t="s">
        <v>35</v>
      </c>
      <c r="H88">
        <v>23879</v>
      </c>
      <c r="I88">
        <v>16308</v>
      </c>
      <c r="J88">
        <f t="shared" si="2"/>
        <v>7571</v>
      </c>
      <c r="K88" s="6">
        <f t="shared" si="3"/>
        <v>0.31705682817538422</v>
      </c>
    </row>
    <row r="89" spans="1:11" x14ac:dyDescent="0.35">
      <c r="A89">
        <v>88</v>
      </c>
      <c r="B89" s="1">
        <v>45710</v>
      </c>
      <c r="C89" t="s">
        <v>14</v>
      </c>
      <c r="D89" t="s">
        <v>10</v>
      </c>
      <c r="E89" t="s">
        <v>21</v>
      </c>
      <c r="F89" t="s">
        <v>54</v>
      </c>
      <c r="G89" t="s">
        <v>28</v>
      </c>
      <c r="H89">
        <v>19812</v>
      </c>
      <c r="I89">
        <v>15108</v>
      </c>
      <c r="J89">
        <f t="shared" si="2"/>
        <v>4704</v>
      </c>
      <c r="K89" s="6">
        <f t="shared" si="3"/>
        <v>0.23743185947910359</v>
      </c>
    </row>
    <row r="90" spans="1:11" x14ac:dyDescent="0.35">
      <c r="A90">
        <v>89</v>
      </c>
      <c r="B90" s="1">
        <v>45694</v>
      </c>
      <c r="C90" t="s">
        <v>37</v>
      </c>
      <c r="D90" t="s">
        <v>10</v>
      </c>
      <c r="E90" t="s">
        <v>11</v>
      </c>
      <c r="F90" t="s">
        <v>40</v>
      </c>
      <c r="G90" t="s">
        <v>35</v>
      </c>
      <c r="H90">
        <v>28689</v>
      </c>
      <c r="I90">
        <v>23198</v>
      </c>
      <c r="J90">
        <f t="shared" si="2"/>
        <v>5491</v>
      </c>
      <c r="K90" s="6">
        <f t="shared" si="3"/>
        <v>0.19139739970023353</v>
      </c>
    </row>
    <row r="91" spans="1:11" x14ac:dyDescent="0.35">
      <c r="A91">
        <v>90</v>
      </c>
      <c r="B91" s="1">
        <v>45717</v>
      </c>
      <c r="C91" t="s">
        <v>17</v>
      </c>
      <c r="D91" t="s">
        <v>10</v>
      </c>
      <c r="E91" t="s">
        <v>42</v>
      </c>
      <c r="F91" t="s">
        <v>66</v>
      </c>
      <c r="G91" t="s">
        <v>13</v>
      </c>
      <c r="H91">
        <v>22720</v>
      </c>
      <c r="I91">
        <v>16964</v>
      </c>
      <c r="J91">
        <f t="shared" si="2"/>
        <v>5756</v>
      </c>
      <c r="K91" s="6">
        <f t="shared" si="3"/>
        <v>0.25334507042253523</v>
      </c>
    </row>
    <row r="92" spans="1:11" x14ac:dyDescent="0.35">
      <c r="A92">
        <v>91</v>
      </c>
      <c r="B92" s="1">
        <v>45705</v>
      </c>
      <c r="C92" t="s">
        <v>17</v>
      </c>
      <c r="D92" t="s">
        <v>18</v>
      </c>
      <c r="E92" t="s">
        <v>19</v>
      </c>
      <c r="F92" t="s">
        <v>16</v>
      </c>
      <c r="G92" t="s">
        <v>28</v>
      </c>
      <c r="H92">
        <v>21070</v>
      </c>
      <c r="I92">
        <v>14232</v>
      </c>
      <c r="J92">
        <f t="shared" si="2"/>
        <v>6838</v>
      </c>
      <c r="K92" s="6">
        <f t="shared" si="3"/>
        <v>0.32453725676317041</v>
      </c>
    </row>
    <row r="93" spans="1:11" x14ac:dyDescent="0.35">
      <c r="A93">
        <v>92</v>
      </c>
      <c r="B93" s="1">
        <v>45677</v>
      </c>
      <c r="C93" t="s">
        <v>37</v>
      </c>
      <c r="D93" t="s">
        <v>10</v>
      </c>
      <c r="E93" t="s">
        <v>42</v>
      </c>
      <c r="F93" t="s">
        <v>61</v>
      </c>
      <c r="G93" t="s">
        <v>33</v>
      </c>
      <c r="H93">
        <v>5006</v>
      </c>
      <c r="I93">
        <v>3123</v>
      </c>
      <c r="J93">
        <f t="shared" si="2"/>
        <v>1883</v>
      </c>
      <c r="K93" s="6">
        <f t="shared" si="3"/>
        <v>0.37614862165401519</v>
      </c>
    </row>
    <row r="94" spans="1:11" x14ac:dyDescent="0.35">
      <c r="A94">
        <v>93</v>
      </c>
      <c r="B94" s="1">
        <v>45715</v>
      </c>
      <c r="C94" t="s">
        <v>17</v>
      </c>
      <c r="D94" t="s">
        <v>10</v>
      </c>
      <c r="E94" t="s">
        <v>11</v>
      </c>
      <c r="F94" t="s">
        <v>67</v>
      </c>
      <c r="G94" t="s">
        <v>33</v>
      </c>
      <c r="H94">
        <v>3008</v>
      </c>
      <c r="I94">
        <v>2561</v>
      </c>
      <c r="J94">
        <f t="shared" si="2"/>
        <v>447</v>
      </c>
      <c r="K94" s="6">
        <f t="shared" si="3"/>
        <v>0.14860372340425532</v>
      </c>
    </row>
    <row r="95" spans="1:11" x14ac:dyDescent="0.35">
      <c r="A95">
        <v>94</v>
      </c>
      <c r="B95" s="1">
        <v>45670</v>
      </c>
      <c r="C95" t="s">
        <v>17</v>
      </c>
      <c r="D95" t="s">
        <v>18</v>
      </c>
      <c r="E95" t="s">
        <v>29</v>
      </c>
      <c r="F95" t="s">
        <v>68</v>
      </c>
      <c r="G95" t="s">
        <v>23</v>
      </c>
      <c r="H95">
        <v>16731</v>
      </c>
      <c r="I95">
        <v>11214</v>
      </c>
      <c r="J95">
        <f t="shared" si="2"/>
        <v>5517</v>
      </c>
      <c r="K95" s="6">
        <f t="shared" si="3"/>
        <v>0.32974717590102204</v>
      </c>
    </row>
    <row r="96" spans="1:11" x14ac:dyDescent="0.35">
      <c r="A96">
        <v>95</v>
      </c>
      <c r="B96" s="1">
        <v>45716</v>
      </c>
      <c r="C96" t="s">
        <v>37</v>
      </c>
      <c r="D96" t="s">
        <v>10</v>
      </c>
      <c r="E96" t="s">
        <v>42</v>
      </c>
      <c r="F96" t="s">
        <v>68</v>
      </c>
      <c r="G96" t="s">
        <v>33</v>
      </c>
      <c r="H96">
        <v>25721</v>
      </c>
      <c r="I96">
        <v>20828</v>
      </c>
      <c r="J96">
        <f t="shared" si="2"/>
        <v>4893</v>
      </c>
      <c r="K96" s="6">
        <f t="shared" si="3"/>
        <v>0.19023366121068389</v>
      </c>
    </row>
    <row r="97" spans="1:11" x14ac:dyDescent="0.35">
      <c r="A97">
        <v>96</v>
      </c>
      <c r="B97" s="1">
        <v>45685</v>
      </c>
      <c r="C97" t="s">
        <v>17</v>
      </c>
      <c r="D97" t="s">
        <v>18</v>
      </c>
      <c r="E97" t="s">
        <v>26</v>
      </c>
      <c r="F97" t="s">
        <v>44</v>
      </c>
      <c r="G97" t="s">
        <v>33</v>
      </c>
      <c r="H97">
        <v>12746</v>
      </c>
      <c r="I97">
        <v>9105</v>
      </c>
      <c r="J97">
        <f t="shared" si="2"/>
        <v>3641</v>
      </c>
      <c r="K97" s="6">
        <f t="shared" si="3"/>
        <v>0.28565824572414877</v>
      </c>
    </row>
    <row r="98" spans="1:11" x14ac:dyDescent="0.35">
      <c r="A98">
        <v>97</v>
      </c>
      <c r="B98" s="1">
        <v>45669</v>
      </c>
      <c r="C98" t="s">
        <v>17</v>
      </c>
      <c r="D98" t="s">
        <v>10</v>
      </c>
      <c r="E98" t="s">
        <v>11</v>
      </c>
      <c r="F98" t="s">
        <v>69</v>
      </c>
      <c r="G98" t="s">
        <v>23</v>
      </c>
      <c r="H98">
        <v>17130</v>
      </c>
      <c r="I98">
        <v>12065</v>
      </c>
      <c r="J98">
        <f t="shared" si="2"/>
        <v>5065</v>
      </c>
      <c r="K98" s="6">
        <f t="shared" si="3"/>
        <v>0.29568009340338586</v>
      </c>
    </row>
    <row r="99" spans="1:11" x14ac:dyDescent="0.35">
      <c r="A99">
        <v>98</v>
      </c>
      <c r="B99" s="1">
        <v>45707</v>
      </c>
      <c r="C99" t="s">
        <v>37</v>
      </c>
      <c r="D99" t="s">
        <v>10</v>
      </c>
      <c r="E99" t="s">
        <v>42</v>
      </c>
      <c r="F99" t="s">
        <v>52</v>
      </c>
      <c r="G99" t="s">
        <v>33</v>
      </c>
      <c r="H99">
        <v>19263</v>
      </c>
      <c r="I99">
        <v>13395</v>
      </c>
      <c r="J99">
        <f t="shared" si="2"/>
        <v>5868</v>
      </c>
      <c r="K99" s="6">
        <f t="shared" si="3"/>
        <v>0.30462544774957173</v>
      </c>
    </row>
    <row r="100" spans="1:11" x14ac:dyDescent="0.35">
      <c r="A100">
        <v>99</v>
      </c>
      <c r="B100" s="1">
        <v>45710</v>
      </c>
      <c r="C100" t="s">
        <v>37</v>
      </c>
      <c r="D100" t="s">
        <v>18</v>
      </c>
      <c r="E100" t="s">
        <v>32</v>
      </c>
      <c r="F100" t="s">
        <v>70</v>
      </c>
      <c r="G100" t="s">
        <v>28</v>
      </c>
      <c r="H100">
        <v>19662</v>
      </c>
      <c r="I100">
        <v>14327</v>
      </c>
      <c r="J100">
        <f t="shared" si="2"/>
        <v>5335</v>
      </c>
      <c r="K100" s="6">
        <f t="shared" si="3"/>
        <v>0.27133557115247686</v>
      </c>
    </row>
    <row r="101" spans="1:11" x14ac:dyDescent="0.35">
      <c r="A101">
        <v>100</v>
      </c>
      <c r="B101" s="1">
        <v>45709</v>
      </c>
      <c r="C101" t="s">
        <v>17</v>
      </c>
      <c r="D101" t="s">
        <v>10</v>
      </c>
      <c r="E101" t="s">
        <v>21</v>
      </c>
      <c r="F101" t="s">
        <v>47</v>
      </c>
      <c r="G101" t="s">
        <v>28</v>
      </c>
      <c r="H101">
        <v>25528</v>
      </c>
      <c r="I101">
        <v>22200</v>
      </c>
      <c r="J101">
        <f t="shared" si="2"/>
        <v>3328</v>
      </c>
      <c r="K101" s="6">
        <f t="shared" si="3"/>
        <v>0.13036665622062049</v>
      </c>
    </row>
    <row r="102" spans="1:11" x14ac:dyDescent="0.35">
      <c r="A102">
        <v>101</v>
      </c>
      <c r="B102" s="1">
        <v>45694</v>
      </c>
      <c r="C102" t="s">
        <v>9</v>
      </c>
      <c r="D102" t="s">
        <v>10</v>
      </c>
      <c r="E102" t="s">
        <v>42</v>
      </c>
      <c r="F102" t="s">
        <v>68</v>
      </c>
      <c r="G102" t="s">
        <v>35</v>
      </c>
      <c r="H102">
        <v>5348</v>
      </c>
      <c r="I102">
        <v>3731</v>
      </c>
      <c r="J102">
        <f t="shared" si="2"/>
        <v>1617</v>
      </c>
      <c r="K102" s="6">
        <f t="shared" si="3"/>
        <v>0.30235602094240838</v>
      </c>
    </row>
    <row r="103" spans="1:11" x14ac:dyDescent="0.35">
      <c r="A103">
        <v>102</v>
      </c>
      <c r="B103" s="1">
        <v>45716</v>
      </c>
      <c r="C103" t="s">
        <v>37</v>
      </c>
      <c r="D103" t="s">
        <v>18</v>
      </c>
      <c r="E103" t="s">
        <v>32</v>
      </c>
      <c r="F103" t="s">
        <v>51</v>
      </c>
      <c r="G103" t="s">
        <v>35</v>
      </c>
      <c r="H103">
        <v>22285</v>
      </c>
      <c r="I103">
        <v>14394</v>
      </c>
      <c r="J103">
        <f t="shared" si="2"/>
        <v>7891</v>
      </c>
      <c r="K103" s="6">
        <f t="shared" si="3"/>
        <v>0.3540946825218757</v>
      </c>
    </row>
    <row r="104" spans="1:11" x14ac:dyDescent="0.35">
      <c r="A104">
        <v>103</v>
      </c>
      <c r="B104" s="1">
        <v>45661</v>
      </c>
      <c r="C104" t="s">
        <v>17</v>
      </c>
      <c r="D104" t="s">
        <v>10</v>
      </c>
      <c r="E104" t="s">
        <v>11</v>
      </c>
      <c r="F104" t="s">
        <v>71</v>
      </c>
      <c r="G104" t="s">
        <v>33</v>
      </c>
      <c r="H104">
        <v>17832</v>
      </c>
      <c r="I104">
        <v>14995</v>
      </c>
      <c r="J104">
        <f t="shared" si="2"/>
        <v>2837</v>
      </c>
      <c r="K104" s="6">
        <f t="shared" si="3"/>
        <v>0.15909600717810676</v>
      </c>
    </row>
    <row r="105" spans="1:11" x14ac:dyDescent="0.35">
      <c r="A105">
        <v>104</v>
      </c>
      <c r="B105" s="1">
        <v>45708</v>
      </c>
      <c r="C105" t="s">
        <v>17</v>
      </c>
      <c r="D105" t="s">
        <v>18</v>
      </c>
      <c r="E105" t="s">
        <v>32</v>
      </c>
      <c r="F105" t="s">
        <v>55</v>
      </c>
      <c r="G105" t="s">
        <v>23</v>
      </c>
      <c r="H105">
        <v>18659</v>
      </c>
      <c r="I105">
        <v>11399</v>
      </c>
      <c r="J105">
        <f t="shared" si="2"/>
        <v>7260</v>
      </c>
      <c r="K105" s="6">
        <f t="shared" si="3"/>
        <v>0.38908837558282866</v>
      </c>
    </row>
    <row r="106" spans="1:11" x14ac:dyDescent="0.35">
      <c r="A106">
        <v>105</v>
      </c>
      <c r="B106" s="1">
        <v>45680</v>
      </c>
      <c r="C106" t="s">
        <v>17</v>
      </c>
      <c r="D106" t="s">
        <v>10</v>
      </c>
      <c r="E106" t="s">
        <v>15</v>
      </c>
      <c r="F106" t="s">
        <v>36</v>
      </c>
      <c r="G106" t="s">
        <v>23</v>
      </c>
      <c r="H106">
        <v>8814</v>
      </c>
      <c r="I106">
        <v>7395</v>
      </c>
      <c r="J106">
        <f t="shared" si="2"/>
        <v>1419</v>
      </c>
      <c r="K106" s="6">
        <f t="shared" si="3"/>
        <v>0.16099387338325391</v>
      </c>
    </row>
    <row r="107" spans="1:11" x14ac:dyDescent="0.35">
      <c r="A107">
        <v>106</v>
      </c>
      <c r="B107" s="1">
        <v>45706</v>
      </c>
      <c r="C107" t="s">
        <v>37</v>
      </c>
      <c r="D107" t="s">
        <v>10</v>
      </c>
      <c r="E107" t="s">
        <v>15</v>
      </c>
      <c r="F107" t="s">
        <v>53</v>
      </c>
      <c r="G107" t="s">
        <v>28</v>
      </c>
      <c r="H107">
        <v>18540</v>
      </c>
      <c r="I107">
        <v>13865</v>
      </c>
      <c r="J107">
        <f t="shared" si="2"/>
        <v>4675</v>
      </c>
      <c r="K107" s="6">
        <f t="shared" si="3"/>
        <v>0.25215749730312836</v>
      </c>
    </row>
    <row r="108" spans="1:11" x14ac:dyDescent="0.35">
      <c r="A108">
        <v>107</v>
      </c>
      <c r="B108" s="1">
        <v>45681</v>
      </c>
      <c r="C108" t="s">
        <v>37</v>
      </c>
      <c r="D108" t="s">
        <v>18</v>
      </c>
      <c r="E108" t="s">
        <v>26</v>
      </c>
      <c r="F108" t="s">
        <v>46</v>
      </c>
      <c r="G108" t="s">
        <v>13</v>
      </c>
      <c r="H108">
        <v>11682</v>
      </c>
      <c r="I108">
        <v>7094</v>
      </c>
      <c r="J108">
        <f t="shared" si="2"/>
        <v>4588</v>
      </c>
      <c r="K108" s="6">
        <f t="shared" si="3"/>
        <v>0.39274096901215544</v>
      </c>
    </row>
    <row r="109" spans="1:11" x14ac:dyDescent="0.35">
      <c r="A109">
        <v>108</v>
      </c>
      <c r="B109" s="1">
        <v>45679</v>
      </c>
      <c r="C109" t="s">
        <v>14</v>
      </c>
      <c r="D109" t="s">
        <v>18</v>
      </c>
      <c r="E109" t="s">
        <v>19</v>
      </c>
      <c r="F109" t="s">
        <v>40</v>
      </c>
      <c r="G109" t="s">
        <v>13</v>
      </c>
      <c r="H109">
        <v>28130</v>
      </c>
      <c r="I109">
        <v>17510</v>
      </c>
      <c r="J109">
        <f t="shared" si="2"/>
        <v>10620</v>
      </c>
      <c r="K109" s="6">
        <f t="shared" si="3"/>
        <v>0.37753288304301458</v>
      </c>
    </row>
    <row r="110" spans="1:11" x14ac:dyDescent="0.35">
      <c r="A110">
        <v>109</v>
      </c>
      <c r="B110" s="1">
        <v>45677</v>
      </c>
      <c r="C110" t="s">
        <v>17</v>
      </c>
      <c r="D110" t="s">
        <v>18</v>
      </c>
      <c r="E110" t="s">
        <v>26</v>
      </c>
      <c r="F110" t="s">
        <v>44</v>
      </c>
      <c r="G110" t="s">
        <v>28</v>
      </c>
      <c r="H110">
        <v>12219</v>
      </c>
      <c r="I110">
        <v>9328</v>
      </c>
      <c r="J110">
        <f t="shared" si="2"/>
        <v>2891</v>
      </c>
      <c r="K110" s="6">
        <f t="shared" si="3"/>
        <v>0.2365987396677306</v>
      </c>
    </row>
    <row r="111" spans="1:11" x14ac:dyDescent="0.35">
      <c r="A111">
        <v>110</v>
      </c>
      <c r="B111" s="1">
        <v>45696</v>
      </c>
      <c r="C111" t="s">
        <v>14</v>
      </c>
      <c r="D111" t="s">
        <v>18</v>
      </c>
      <c r="E111" t="s">
        <v>26</v>
      </c>
      <c r="F111" t="s">
        <v>62</v>
      </c>
      <c r="G111" t="s">
        <v>28</v>
      </c>
      <c r="H111">
        <v>13169</v>
      </c>
      <c r="I111">
        <v>8888</v>
      </c>
      <c r="J111">
        <f t="shared" si="2"/>
        <v>4281</v>
      </c>
      <c r="K111" s="6">
        <f t="shared" si="3"/>
        <v>0.32508163110334876</v>
      </c>
    </row>
    <row r="112" spans="1:11" x14ac:dyDescent="0.35">
      <c r="A112">
        <v>111</v>
      </c>
      <c r="B112" s="1">
        <v>45699</v>
      </c>
      <c r="C112" t="s">
        <v>37</v>
      </c>
      <c r="D112" t="s">
        <v>10</v>
      </c>
      <c r="E112" t="s">
        <v>15</v>
      </c>
      <c r="F112" t="s">
        <v>31</v>
      </c>
      <c r="G112" t="s">
        <v>33</v>
      </c>
      <c r="H112">
        <v>3614</v>
      </c>
      <c r="I112">
        <v>3028</v>
      </c>
      <c r="J112">
        <f t="shared" si="2"/>
        <v>586</v>
      </c>
      <c r="K112" s="6">
        <f t="shared" si="3"/>
        <v>0.16214720531267293</v>
      </c>
    </row>
    <row r="113" spans="1:11" x14ac:dyDescent="0.35">
      <c r="A113">
        <v>112</v>
      </c>
      <c r="B113" s="1">
        <v>45698</v>
      </c>
      <c r="C113" t="s">
        <v>37</v>
      </c>
      <c r="D113" t="s">
        <v>18</v>
      </c>
      <c r="E113" t="s">
        <v>26</v>
      </c>
      <c r="F113" t="s">
        <v>46</v>
      </c>
      <c r="G113" t="s">
        <v>28</v>
      </c>
      <c r="H113">
        <v>27189</v>
      </c>
      <c r="I113">
        <v>23741</v>
      </c>
      <c r="J113">
        <f t="shared" si="2"/>
        <v>3448</v>
      </c>
      <c r="K113" s="6">
        <f t="shared" si="3"/>
        <v>0.12681599176137409</v>
      </c>
    </row>
    <row r="114" spans="1:11" x14ac:dyDescent="0.35">
      <c r="A114">
        <v>113</v>
      </c>
      <c r="B114" s="1">
        <v>45673</v>
      </c>
      <c r="C114" t="s">
        <v>17</v>
      </c>
      <c r="D114" t="s">
        <v>10</v>
      </c>
      <c r="E114" t="s">
        <v>15</v>
      </c>
      <c r="F114" t="s">
        <v>70</v>
      </c>
      <c r="G114" t="s">
        <v>23</v>
      </c>
      <c r="H114">
        <v>10537</v>
      </c>
      <c r="I114">
        <v>8770</v>
      </c>
      <c r="J114">
        <f t="shared" si="2"/>
        <v>1767</v>
      </c>
      <c r="K114" s="6">
        <f t="shared" si="3"/>
        <v>0.1676947897883648</v>
      </c>
    </row>
    <row r="115" spans="1:11" x14ac:dyDescent="0.35">
      <c r="A115">
        <v>114</v>
      </c>
      <c r="B115" s="1">
        <v>45673</v>
      </c>
      <c r="C115" t="s">
        <v>9</v>
      </c>
      <c r="D115" t="s">
        <v>18</v>
      </c>
      <c r="E115" t="s">
        <v>26</v>
      </c>
      <c r="F115" t="s">
        <v>68</v>
      </c>
      <c r="G115" t="s">
        <v>13</v>
      </c>
      <c r="H115">
        <v>7848</v>
      </c>
      <c r="I115">
        <v>4969</v>
      </c>
      <c r="J115">
        <f t="shared" si="2"/>
        <v>2879</v>
      </c>
      <c r="K115" s="6">
        <f t="shared" si="3"/>
        <v>0.36684505606523954</v>
      </c>
    </row>
    <row r="116" spans="1:11" x14ac:dyDescent="0.35">
      <c r="A116">
        <v>115</v>
      </c>
      <c r="B116" s="1">
        <v>45697</v>
      </c>
      <c r="C116" t="s">
        <v>17</v>
      </c>
      <c r="D116" t="s">
        <v>10</v>
      </c>
      <c r="E116" t="s">
        <v>15</v>
      </c>
      <c r="F116" t="s">
        <v>34</v>
      </c>
      <c r="G116" t="s">
        <v>28</v>
      </c>
      <c r="H116">
        <v>27755</v>
      </c>
      <c r="I116">
        <v>22304</v>
      </c>
      <c r="J116">
        <f t="shared" si="2"/>
        <v>5451</v>
      </c>
      <c r="K116" s="6">
        <f t="shared" si="3"/>
        <v>0.19639704557737345</v>
      </c>
    </row>
    <row r="117" spans="1:11" x14ac:dyDescent="0.35">
      <c r="A117">
        <v>116</v>
      </c>
      <c r="B117" s="1">
        <v>45663</v>
      </c>
      <c r="C117" t="s">
        <v>37</v>
      </c>
      <c r="D117" t="s">
        <v>18</v>
      </c>
      <c r="E117" t="s">
        <v>26</v>
      </c>
      <c r="F117" t="s">
        <v>53</v>
      </c>
      <c r="G117" t="s">
        <v>35</v>
      </c>
      <c r="H117">
        <v>4181</v>
      </c>
      <c r="I117">
        <v>2556</v>
      </c>
      <c r="J117">
        <f t="shared" si="2"/>
        <v>1625</v>
      </c>
      <c r="K117" s="6">
        <f t="shared" si="3"/>
        <v>0.38866299928246834</v>
      </c>
    </row>
    <row r="118" spans="1:11" x14ac:dyDescent="0.35">
      <c r="A118">
        <v>117</v>
      </c>
      <c r="B118" s="1">
        <v>45695</v>
      </c>
      <c r="C118" t="s">
        <v>9</v>
      </c>
      <c r="D118" t="s">
        <v>10</v>
      </c>
      <c r="E118" t="s">
        <v>21</v>
      </c>
      <c r="F118" t="s">
        <v>31</v>
      </c>
      <c r="G118" t="s">
        <v>28</v>
      </c>
      <c r="H118">
        <v>8389</v>
      </c>
      <c r="I118">
        <v>6532</v>
      </c>
      <c r="J118">
        <f t="shared" si="2"/>
        <v>1857</v>
      </c>
      <c r="K118" s="6">
        <f t="shared" si="3"/>
        <v>0.22136130647276195</v>
      </c>
    </row>
    <row r="119" spans="1:11" x14ac:dyDescent="0.35">
      <c r="A119">
        <v>118</v>
      </c>
      <c r="B119" s="1">
        <v>45711</v>
      </c>
      <c r="C119" t="s">
        <v>14</v>
      </c>
      <c r="D119" t="s">
        <v>10</v>
      </c>
      <c r="E119" t="s">
        <v>21</v>
      </c>
      <c r="F119" t="s">
        <v>24</v>
      </c>
      <c r="G119" t="s">
        <v>23</v>
      </c>
      <c r="H119">
        <v>5296</v>
      </c>
      <c r="I119">
        <v>4380</v>
      </c>
      <c r="J119">
        <f t="shared" si="2"/>
        <v>916</v>
      </c>
      <c r="K119" s="6">
        <f t="shared" si="3"/>
        <v>0.1729607250755287</v>
      </c>
    </row>
    <row r="120" spans="1:11" x14ac:dyDescent="0.35">
      <c r="A120">
        <v>119</v>
      </c>
      <c r="B120" s="1">
        <v>45681</v>
      </c>
      <c r="C120" t="s">
        <v>14</v>
      </c>
      <c r="D120" t="s">
        <v>18</v>
      </c>
      <c r="E120" t="s">
        <v>19</v>
      </c>
      <c r="F120" t="s">
        <v>60</v>
      </c>
      <c r="G120" t="s">
        <v>13</v>
      </c>
      <c r="H120">
        <v>23944</v>
      </c>
      <c r="I120">
        <v>15560</v>
      </c>
      <c r="J120">
        <f t="shared" si="2"/>
        <v>8384</v>
      </c>
      <c r="K120" s="6">
        <f t="shared" si="3"/>
        <v>0.35015035081857671</v>
      </c>
    </row>
    <row r="121" spans="1:11" x14ac:dyDescent="0.35">
      <c r="A121">
        <v>120</v>
      </c>
      <c r="B121" s="1">
        <v>45685</v>
      </c>
      <c r="C121" t="s">
        <v>37</v>
      </c>
      <c r="D121" t="s">
        <v>18</v>
      </c>
      <c r="E121" t="s">
        <v>19</v>
      </c>
      <c r="F121" t="s">
        <v>63</v>
      </c>
      <c r="G121" t="s">
        <v>23</v>
      </c>
      <c r="H121">
        <v>18898</v>
      </c>
      <c r="I121">
        <v>13265</v>
      </c>
      <c r="J121">
        <f t="shared" si="2"/>
        <v>5633</v>
      </c>
      <c r="K121" s="6">
        <f t="shared" si="3"/>
        <v>0.29807387025082022</v>
      </c>
    </row>
    <row r="122" spans="1:11" x14ac:dyDescent="0.35">
      <c r="A122">
        <v>121</v>
      </c>
      <c r="B122" s="1">
        <v>45683</v>
      </c>
      <c r="C122" t="s">
        <v>9</v>
      </c>
      <c r="D122" t="s">
        <v>10</v>
      </c>
      <c r="E122" t="s">
        <v>11</v>
      </c>
      <c r="F122" t="s">
        <v>41</v>
      </c>
      <c r="G122" t="s">
        <v>35</v>
      </c>
      <c r="H122">
        <v>13655</v>
      </c>
      <c r="I122">
        <v>11129</v>
      </c>
      <c r="J122">
        <f t="shared" si="2"/>
        <v>2526</v>
      </c>
      <c r="K122" s="6">
        <f t="shared" si="3"/>
        <v>0.18498718418161844</v>
      </c>
    </row>
    <row r="123" spans="1:11" x14ac:dyDescent="0.35">
      <c r="A123">
        <v>122</v>
      </c>
      <c r="B123" s="1">
        <v>45697</v>
      </c>
      <c r="C123" t="s">
        <v>37</v>
      </c>
      <c r="D123" t="s">
        <v>18</v>
      </c>
      <c r="E123" t="s">
        <v>19</v>
      </c>
      <c r="F123" t="s">
        <v>12</v>
      </c>
      <c r="G123" t="s">
        <v>35</v>
      </c>
      <c r="H123">
        <v>27432</v>
      </c>
      <c r="I123">
        <v>21904</v>
      </c>
      <c r="J123">
        <f t="shared" si="2"/>
        <v>5528</v>
      </c>
      <c r="K123" s="6">
        <f t="shared" si="3"/>
        <v>0.20151647710702827</v>
      </c>
    </row>
    <row r="124" spans="1:11" x14ac:dyDescent="0.35">
      <c r="A124">
        <v>123</v>
      </c>
      <c r="B124" s="1">
        <v>45702</v>
      </c>
      <c r="C124" t="s">
        <v>14</v>
      </c>
      <c r="D124" t="s">
        <v>18</v>
      </c>
      <c r="E124" t="s">
        <v>32</v>
      </c>
      <c r="F124" t="s">
        <v>41</v>
      </c>
      <c r="G124" t="s">
        <v>23</v>
      </c>
      <c r="H124">
        <v>22740</v>
      </c>
      <c r="I124">
        <v>15119</v>
      </c>
      <c r="J124">
        <f t="shared" si="2"/>
        <v>7621</v>
      </c>
      <c r="K124" s="6">
        <f t="shared" si="3"/>
        <v>0.33513632365875112</v>
      </c>
    </row>
    <row r="125" spans="1:11" x14ac:dyDescent="0.35">
      <c r="A125">
        <v>124</v>
      </c>
      <c r="B125" s="1">
        <v>45710</v>
      </c>
      <c r="C125" t="s">
        <v>9</v>
      </c>
      <c r="D125" t="s">
        <v>10</v>
      </c>
      <c r="E125" t="s">
        <v>21</v>
      </c>
      <c r="F125" t="s">
        <v>61</v>
      </c>
      <c r="G125" t="s">
        <v>28</v>
      </c>
      <c r="H125">
        <v>20494</v>
      </c>
      <c r="I125">
        <v>13939</v>
      </c>
      <c r="J125">
        <f t="shared" si="2"/>
        <v>6555</v>
      </c>
      <c r="K125" s="6">
        <f t="shared" si="3"/>
        <v>0.31984971211086172</v>
      </c>
    </row>
    <row r="126" spans="1:11" x14ac:dyDescent="0.35">
      <c r="A126">
        <v>125</v>
      </c>
      <c r="B126" s="1">
        <v>45697</v>
      </c>
      <c r="C126" t="s">
        <v>17</v>
      </c>
      <c r="D126" t="s">
        <v>10</v>
      </c>
      <c r="E126" t="s">
        <v>21</v>
      </c>
      <c r="F126" t="s">
        <v>40</v>
      </c>
      <c r="G126" t="s">
        <v>35</v>
      </c>
      <c r="H126">
        <v>4689</v>
      </c>
      <c r="I126">
        <v>3659</v>
      </c>
      <c r="J126">
        <f t="shared" si="2"/>
        <v>1030</v>
      </c>
      <c r="K126" s="6">
        <f t="shared" si="3"/>
        <v>0.21966304116016208</v>
      </c>
    </row>
    <row r="127" spans="1:11" x14ac:dyDescent="0.35">
      <c r="A127">
        <v>126</v>
      </c>
      <c r="B127" s="1">
        <v>45693</v>
      </c>
      <c r="C127" t="s">
        <v>37</v>
      </c>
      <c r="D127" t="s">
        <v>10</v>
      </c>
      <c r="E127" t="s">
        <v>21</v>
      </c>
      <c r="F127" t="s">
        <v>55</v>
      </c>
      <c r="G127" t="s">
        <v>35</v>
      </c>
      <c r="H127">
        <v>7805</v>
      </c>
      <c r="I127">
        <v>6809</v>
      </c>
      <c r="J127">
        <f t="shared" si="2"/>
        <v>996</v>
      </c>
      <c r="K127" s="6">
        <f t="shared" si="3"/>
        <v>0.1276105060858424</v>
      </c>
    </row>
    <row r="128" spans="1:11" x14ac:dyDescent="0.35">
      <c r="A128">
        <v>127</v>
      </c>
      <c r="B128" s="1">
        <v>45696</v>
      </c>
      <c r="C128" t="s">
        <v>14</v>
      </c>
      <c r="D128" t="s">
        <v>10</v>
      </c>
      <c r="E128" t="s">
        <v>15</v>
      </c>
      <c r="F128" t="s">
        <v>39</v>
      </c>
      <c r="G128" t="s">
        <v>28</v>
      </c>
      <c r="H128">
        <v>29035</v>
      </c>
      <c r="I128">
        <v>18117</v>
      </c>
      <c r="J128">
        <f t="shared" si="2"/>
        <v>10918</v>
      </c>
      <c r="K128" s="6">
        <f t="shared" si="3"/>
        <v>0.37602893060099879</v>
      </c>
    </row>
    <row r="129" spans="1:11" x14ac:dyDescent="0.35">
      <c r="A129">
        <v>128</v>
      </c>
      <c r="B129" s="1">
        <v>45704</v>
      </c>
      <c r="C129" t="s">
        <v>17</v>
      </c>
      <c r="D129" t="s">
        <v>10</v>
      </c>
      <c r="E129" t="s">
        <v>42</v>
      </c>
      <c r="F129" t="s">
        <v>20</v>
      </c>
      <c r="G129" t="s">
        <v>33</v>
      </c>
      <c r="H129">
        <v>28977</v>
      </c>
      <c r="I129">
        <v>20727</v>
      </c>
      <c r="J129">
        <f t="shared" si="2"/>
        <v>8250</v>
      </c>
      <c r="K129" s="6">
        <f t="shared" si="3"/>
        <v>0.28470856196293615</v>
      </c>
    </row>
    <row r="130" spans="1:11" x14ac:dyDescent="0.35">
      <c r="A130">
        <v>129</v>
      </c>
      <c r="B130" s="1">
        <v>45700</v>
      </c>
      <c r="C130" t="s">
        <v>14</v>
      </c>
      <c r="D130" t="s">
        <v>18</v>
      </c>
      <c r="E130" t="s">
        <v>32</v>
      </c>
      <c r="F130" t="s">
        <v>53</v>
      </c>
      <c r="G130" t="s">
        <v>23</v>
      </c>
      <c r="H130">
        <v>22701</v>
      </c>
      <c r="I130">
        <v>17830</v>
      </c>
      <c r="J130">
        <f t="shared" si="2"/>
        <v>4871</v>
      </c>
      <c r="K130" s="6">
        <f t="shared" si="3"/>
        <v>0.2145720452843487</v>
      </c>
    </row>
    <row r="131" spans="1:11" x14ac:dyDescent="0.35">
      <c r="A131">
        <v>130</v>
      </c>
      <c r="B131" s="1">
        <v>45659</v>
      </c>
      <c r="C131" t="s">
        <v>9</v>
      </c>
      <c r="D131" t="s">
        <v>10</v>
      </c>
      <c r="E131" t="s">
        <v>21</v>
      </c>
      <c r="F131" t="s">
        <v>20</v>
      </c>
      <c r="G131" t="s">
        <v>23</v>
      </c>
      <c r="H131">
        <v>19348</v>
      </c>
      <c r="I131">
        <v>12365</v>
      </c>
      <c r="J131">
        <f t="shared" ref="J131:J194" si="4">H131-I131</f>
        <v>6983</v>
      </c>
      <c r="K131" s="6">
        <f t="shared" ref="K131:K194" si="5">J131/H131</f>
        <v>0.36091585693611744</v>
      </c>
    </row>
    <row r="132" spans="1:11" x14ac:dyDescent="0.35">
      <c r="A132">
        <v>131</v>
      </c>
      <c r="B132" s="1">
        <v>45689</v>
      </c>
      <c r="C132" t="s">
        <v>14</v>
      </c>
      <c r="D132" t="s">
        <v>10</v>
      </c>
      <c r="E132" t="s">
        <v>42</v>
      </c>
      <c r="F132" t="s">
        <v>60</v>
      </c>
      <c r="G132" t="s">
        <v>13</v>
      </c>
      <c r="H132">
        <v>17249</v>
      </c>
      <c r="I132">
        <v>15437</v>
      </c>
      <c r="J132">
        <f t="shared" si="4"/>
        <v>1812</v>
      </c>
      <c r="K132" s="6">
        <f t="shared" si="5"/>
        <v>0.10504956809090382</v>
      </c>
    </row>
    <row r="133" spans="1:11" x14ac:dyDescent="0.35">
      <c r="A133">
        <v>132</v>
      </c>
      <c r="B133" s="1">
        <v>45699</v>
      </c>
      <c r="C133" t="s">
        <v>17</v>
      </c>
      <c r="D133" t="s">
        <v>10</v>
      </c>
      <c r="E133" t="s">
        <v>21</v>
      </c>
      <c r="F133" t="s">
        <v>49</v>
      </c>
      <c r="G133" t="s">
        <v>13</v>
      </c>
      <c r="H133">
        <v>11825</v>
      </c>
      <c r="I133">
        <v>10476</v>
      </c>
      <c r="J133">
        <f t="shared" si="4"/>
        <v>1349</v>
      </c>
      <c r="K133" s="6">
        <f t="shared" si="5"/>
        <v>0.11408033826638478</v>
      </c>
    </row>
    <row r="134" spans="1:11" x14ac:dyDescent="0.35">
      <c r="A134">
        <v>133</v>
      </c>
      <c r="B134" s="1">
        <v>45663</v>
      </c>
      <c r="C134" t="s">
        <v>37</v>
      </c>
      <c r="D134" t="s">
        <v>18</v>
      </c>
      <c r="E134" t="s">
        <v>26</v>
      </c>
      <c r="F134" t="s">
        <v>45</v>
      </c>
      <c r="G134" t="s">
        <v>28</v>
      </c>
      <c r="H134">
        <v>17610</v>
      </c>
      <c r="I134">
        <v>12853</v>
      </c>
      <c r="J134">
        <f t="shared" si="4"/>
        <v>4757</v>
      </c>
      <c r="K134" s="6">
        <f t="shared" si="5"/>
        <v>0.2701306076093129</v>
      </c>
    </row>
    <row r="135" spans="1:11" x14ac:dyDescent="0.35">
      <c r="A135">
        <v>134</v>
      </c>
      <c r="B135" s="1">
        <v>45666</v>
      </c>
      <c r="C135" t="s">
        <v>9</v>
      </c>
      <c r="D135" t="s">
        <v>10</v>
      </c>
      <c r="E135" t="s">
        <v>15</v>
      </c>
      <c r="F135" t="s">
        <v>67</v>
      </c>
      <c r="G135" t="s">
        <v>33</v>
      </c>
      <c r="H135">
        <v>13456</v>
      </c>
      <c r="I135">
        <v>8137</v>
      </c>
      <c r="J135">
        <f t="shared" si="4"/>
        <v>5319</v>
      </c>
      <c r="K135" s="6">
        <f t="shared" si="5"/>
        <v>0.39528834720570749</v>
      </c>
    </row>
    <row r="136" spans="1:11" x14ac:dyDescent="0.35">
      <c r="A136">
        <v>135</v>
      </c>
      <c r="B136" s="1">
        <v>45689</v>
      </c>
      <c r="C136" t="s">
        <v>9</v>
      </c>
      <c r="D136" t="s">
        <v>10</v>
      </c>
      <c r="E136" t="s">
        <v>21</v>
      </c>
      <c r="F136" t="s">
        <v>50</v>
      </c>
      <c r="G136" t="s">
        <v>23</v>
      </c>
      <c r="H136">
        <v>21343</v>
      </c>
      <c r="I136">
        <v>13101</v>
      </c>
      <c r="J136">
        <f t="shared" si="4"/>
        <v>8242</v>
      </c>
      <c r="K136" s="6">
        <f t="shared" si="5"/>
        <v>0.38616876727732746</v>
      </c>
    </row>
    <row r="137" spans="1:11" x14ac:dyDescent="0.35">
      <c r="A137">
        <v>136</v>
      </c>
      <c r="B137" s="1">
        <v>45669</v>
      </c>
      <c r="C137" t="s">
        <v>17</v>
      </c>
      <c r="D137" t="s">
        <v>10</v>
      </c>
      <c r="E137" t="s">
        <v>21</v>
      </c>
      <c r="F137" t="s">
        <v>66</v>
      </c>
      <c r="G137" t="s">
        <v>33</v>
      </c>
      <c r="H137">
        <v>16315</v>
      </c>
      <c r="I137">
        <v>14531</v>
      </c>
      <c r="J137">
        <f t="shared" si="4"/>
        <v>1784</v>
      </c>
      <c r="K137" s="6">
        <f t="shared" si="5"/>
        <v>0.10934722647870058</v>
      </c>
    </row>
    <row r="138" spans="1:11" x14ac:dyDescent="0.35">
      <c r="A138">
        <v>137</v>
      </c>
      <c r="B138" s="1">
        <v>45677</v>
      </c>
      <c r="C138" t="s">
        <v>14</v>
      </c>
      <c r="D138" t="s">
        <v>18</v>
      </c>
      <c r="E138" t="s">
        <v>26</v>
      </c>
      <c r="F138" t="s">
        <v>61</v>
      </c>
      <c r="G138" t="s">
        <v>28</v>
      </c>
      <c r="H138">
        <v>21957</v>
      </c>
      <c r="I138">
        <v>13992</v>
      </c>
      <c r="J138">
        <f t="shared" si="4"/>
        <v>7965</v>
      </c>
      <c r="K138" s="6">
        <f t="shared" si="5"/>
        <v>0.36275447465500754</v>
      </c>
    </row>
    <row r="139" spans="1:11" x14ac:dyDescent="0.35">
      <c r="A139">
        <v>138</v>
      </c>
      <c r="B139" s="1">
        <v>45695</v>
      </c>
      <c r="C139" t="s">
        <v>17</v>
      </c>
      <c r="D139" t="s">
        <v>10</v>
      </c>
      <c r="E139" t="s">
        <v>42</v>
      </c>
      <c r="F139" t="s">
        <v>38</v>
      </c>
      <c r="G139" t="s">
        <v>28</v>
      </c>
      <c r="H139">
        <v>7509</v>
      </c>
      <c r="I139">
        <v>5216</v>
      </c>
      <c r="J139">
        <f t="shared" si="4"/>
        <v>2293</v>
      </c>
      <c r="K139" s="6">
        <f t="shared" si="5"/>
        <v>0.30536689306165932</v>
      </c>
    </row>
    <row r="140" spans="1:11" x14ac:dyDescent="0.35">
      <c r="A140">
        <v>139</v>
      </c>
      <c r="B140" s="1">
        <v>45671</v>
      </c>
      <c r="C140" t="s">
        <v>9</v>
      </c>
      <c r="D140" t="s">
        <v>10</v>
      </c>
      <c r="E140" t="s">
        <v>11</v>
      </c>
      <c r="F140" t="s">
        <v>72</v>
      </c>
      <c r="G140" t="s">
        <v>35</v>
      </c>
      <c r="H140">
        <v>28336</v>
      </c>
      <c r="I140">
        <v>17187</v>
      </c>
      <c r="J140">
        <f t="shared" si="4"/>
        <v>11149</v>
      </c>
      <c r="K140" s="6">
        <f t="shared" si="5"/>
        <v>0.39345708639186899</v>
      </c>
    </row>
    <row r="141" spans="1:11" x14ac:dyDescent="0.35">
      <c r="A141">
        <v>140</v>
      </c>
      <c r="B141" s="1">
        <v>45697</v>
      </c>
      <c r="C141" t="s">
        <v>14</v>
      </c>
      <c r="D141" t="s">
        <v>10</v>
      </c>
      <c r="E141" t="s">
        <v>42</v>
      </c>
      <c r="F141" t="s">
        <v>73</v>
      </c>
      <c r="G141" t="s">
        <v>28</v>
      </c>
      <c r="H141">
        <v>7967</v>
      </c>
      <c r="I141">
        <v>6547</v>
      </c>
      <c r="J141">
        <f t="shared" si="4"/>
        <v>1420</v>
      </c>
      <c r="K141" s="6">
        <f t="shared" si="5"/>
        <v>0.17823522028367014</v>
      </c>
    </row>
    <row r="142" spans="1:11" x14ac:dyDescent="0.35">
      <c r="A142">
        <v>141</v>
      </c>
      <c r="B142" s="1">
        <v>45714</v>
      </c>
      <c r="C142" t="s">
        <v>9</v>
      </c>
      <c r="D142" t="s">
        <v>18</v>
      </c>
      <c r="E142" t="s">
        <v>32</v>
      </c>
      <c r="F142" t="s">
        <v>30</v>
      </c>
      <c r="G142" t="s">
        <v>33</v>
      </c>
      <c r="H142">
        <v>9266</v>
      </c>
      <c r="I142">
        <v>7251</v>
      </c>
      <c r="J142">
        <f t="shared" si="4"/>
        <v>2015</v>
      </c>
      <c r="K142" s="6">
        <f t="shared" si="5"/>
        <v>0.2174616878912152</v>
      </c>
    </row>
    <row r="143" spans="1:11" x14ac:dyDescent="0.35">
      <c r="A143">
        <v>142</v>
      </c>
      <c r="B143" s="1">
        <v>45658</v>
      </c>
      <c r="C143" t="s">
        <v>17</v>
      </c>
      <c r="D143" t="s">
        <v>18</v>
      </c>
      <c r="E143" t="s">
        <v>26</v>
      </c>
      <c r="F143" t="s">
        <v>43</v>
      </c>
      <c r="G143" t="s">
        <v>28</v>
      </c>
      <c r="H143">
        <v>18541</v>
      </c>
      <c r="I143">
        <v>12433</v>
      </c>
      <c r="J143">
        <f t="shared" si="4"/>
        <v>6108</v>
      </c>
      <c r="K143" s="6">
        <f t="shared" si="5"/>
        <v>0.32943206946766623</v>
      </c>
    </row>
    <row r="144" spans="1:11" x14ac:dyDescent="0.35">
      <c r="A144">
        <v>143</v>
      </c>
      <c r="B144" s="1">
        <v>45700</v>
      </c>
      <c r="C144" t="s">
        <v>9</v>
      </c>
      <c r="D144" t="s">
        <v>18</v>
      </c>
      <c r="E144" t="s">
        <v>32</v>
      </c>
      <c r="F144" t="s">
        <v>74</v>
      </c>
      <c r="G144" t="s">
        <v>23</v>
      </c>
      <c r="H144">
        <v>12290</v>
      </c>
      <c r="I144">
        <v>8375</v>
      </c>
      <c r="J144">
        <f t="shared" si="4"/>
        <v>3915</v>
      </c>
      <c r="K144" s="6">
        <f t="shared" si="5"/>
        <v>0.31855166802278273</v>
      </c>
    </row>
    <row r="145" spans="1:11" x14ac:dyDescent="0.35">
      <c r="A145">
        <v>144</v>
      </c>
      <c r="B145" s="1">
        <v>45666</v>
      </c>
      <c r="C145" t="s">
        <v>14</v>
      </c>
      <c r="D145" t="s">
        <v>10</v>
      </c>
      <c r="E145" t="s">
        <v>15</v>
      </c>
      <c r="F145" t="s">
        <v>57</v>
      </c>
      <c r="G145" t="s">
        <v>23</v>
      </c>
      <c r="H145">
        <v>29811</v>
      </c>
      <c r="I145">
        <v>23913</v>
      </c>
      <c r="J145">
        <f t="shared" si="4"/>
        <v>5898</v>
      </c>
      <c r="K145" s="6">
        <f t="shared" si="5"/>
        <v>0.19784643252490691</v>
      </c>
    </row>
    <row r="146" spans="1:11" x14ac:dyDescent="0.35">
      <c r="A146">
        <v>145</v>
      </c>
      <c r="B146" s="1">
        <v>45678</v>
      </c>
      <c r="C146" t="s">
        <v>17</v>
      </c>
      <c r="D146" t="s">
        <v>18</v>
      </c>
      <c r="E146" t="s">
        <v>32</v>
      </c>
      <c r="F146" t="s">
        <v>50</v>
      </c>
      <c r="G146" t="s">
        <v>33</v>
      </c>
      <c r="H146">
        <v>3743</v>
      </c>
      <c r="I146">
        <v>2347</v>
      </c>
      <c r="J146">
        <f t="shared" si="4"/>
        <v>1396</v>
      </c>
      <c r="K146" s="6">
        <f t="shared" si="5"/>
        <v>0.37296286401282391</v>
      </c>
    </row>
    <row r="147" spans="1:11" x14ac:dyDescent="0.35">
      <c r="A147">
        <v>146</v>
      </c>
      <c r="B147" s="1">
        <v>45691</v>
      </c>
      <c r="C147" t="s">
        <v>14</v>
      </c>
      <c r="D147" t="s">
        <v>10</v>
      </c>
      <c r="E147" t="s">
        <v>11</v>
      </c>
      <c r="F147" t="s">
        <v>75</v>
      </c>
      <c r="G147" t="s">
        <v>33</v>
      </c>
      <c r="H147">
        <v>12655</v>
      </c>
      <c r="I147">
        <v>10478</v>
      </c>
      <c r="J147">
        <f t="shared" si="4"/>
        <v>2177</v>
      </c>
      <c r="K147" s="6">
        <f t="shared" si="5"/>
        <v>0.17202686685104701</v>
      </c>
    </row>
    <row r="148" spans="1:11" x14ac:dyDescent="0.35">
      <c r="A148">
        <v>147</v>
      </c>
      <c r="B148" s="1">
        <v>45665</v>
      </c>
      <c r="C148" t="s">
        <v>9</v>
      </c>
      <c r="D148" t="s">
        <v>18</v>
      </c>
      <c r="E148" t="s">
        <v>26</v>
      </c>
      <c r="F148" t="s">
        <v>53</v>
      </c>
      <c r="G148" t="s">
        <v>23</v>
      </c>
      <c r="H148">
        <v>19492</v>
      </c>
      <c r="I148">
        <v>15052</v>
      </c>
      <c r="J148">
        <f t="shared" si="4"/>
        <v>4440</v>
      </c>
      <c r="K148" s="6">
        <f t="shared" si="5"/>
        <v>0.22778575825979888</v>
      </c>
    </row>
    <row r="149" spans="1:11" x14ac:dyDescent="0.35">
      <c r="A149">
        <v>148</v>
      </c>
      <c r="B149" s="1">
        <v>45686</v>
      </c>
      <c r="C149" t="s">
        <v>9</v>
      </c>
      <c r="D149" t="s">
        <v>18</v>
      </c>
      <c r="E149" t="s">
        <v>19</v>
      </c>
      <c r="F149" t="s">
        <v>76</v>
      </c>
      <c r="G149" t="s">
        <v>23</v>
      </c>
      <c r="H149">
        <v>23823</v>
      </c>
      <c r="I149">
        <v>15138</v>
      </c>
      <c r="J149">
        <f t="shared" si="4"/>
        <v>8685</v>
      </c>
      <c r="K149" s="6">
        <f t="shared" si="5"/>
        <v>0.36456365697015491</v>
      </c>
    </row>
    <row r="150" spans="1:11" x14ac:dyDescent="0.35">
      <c r="A150">
        <v>149</v>
      </c>
      <c r="B150" s="1">
        <v>45663</v>
      </c>
      <c r="C150" t="s">
        <v>37</v>
      </c>
      <c r="D150" t="s">
        <v>18</v>
      </c>
      <c r="E150" t="s">
        <v>32</v>
      </c>
      <c r="F150" t="s">
        <v>65</v>
      </c>
      <c r="G150" t="s">
        <v>13</v>
      </c>
      <c r="H150">
        <v>12233</v>
      </c>
      <c r="I150">
        <v>8248</v>
      </c>
      <c r="J150">
        <f t="shared" si="4"/>
        <v>3985</v>
      </c>
      <c r="K150" s="6">
        <f t="shared" si="5"/>
        <v>0.32575819504618653</v>
      </c>
    </row>
    <row r="151" spans="1:11" x14ac:dyDescent="0.35">
      <c r="A151">
        <v>150</v>
      </c>
      <c r="B151" s="1">
        <v>45699</v>
      </c>
      <c r="C151" t="s">
        <v>17</v>
      </c>
      <c r="D151" t="s">
        <v>10</v>
      </c>
      <c r="E151" t="s">
        <v>42</v>
      </c>
      <c r="F151" t="s">
        <v>58</v>
      </c>
      <c r="G151" t="s">
        <v>28</v>
      </c>
      <c r="H151">
        <v>3003</v>
      </c>
      <c r="I151">
        <v>2190</v>
      </c>
      <c r="J151">
        <f t="shared" si="4"/>
        <v>813</v>
      </c>
      <c r="K151" s="6">
        <f t="shared" si="5"/>
        <v>0.27072927072927072</v>
      </c>
    </row>
    <row r="152" spans="1:11" x14ac:dyDescent="0.35">
      <c r="A152">
        <v>151</v>
      </c>
      <c r="B152" s="1">
        <v>45680</v>
      </c>
      <c r="C152" t="s">
        <v>37</v>
      </c>
      <c r="D152" t="s">
        <v>18</v>
      </c>
      <c r="E152" t="s">
        <v>26</v>
      </c>
      <c r="F152" t="s">
        <v>44</v>
      </c>
      <c r="G152" t="s">
        <v>13</v>
      </c>
      <c r="H152">
        <v>21525</v>
      </c>
      <c r="I152">
        <v>15170</v>
      </c>
      <c r="J152">
        <f t="shared" si="4"/>
        <v>6355</v>
      </c>
      <c r="K152" s="6">
        <f t="shared" si="5"/>
        <v>0.29523809523809524</v>
      </c>
    </row>
    <row r="153" spans="1:11" x14ac:dyDescent="0.35">
      <c r="A153">
        <v>152</v>
      </c>
      <c r="B153" s="1">
        <v>45685</v>
      </c>
      <c r="C153" t="s">
        <v>9</v>
      </c>
      <c r="D153" t="s">
        <v>10</v>
      </c>
      <c r="E153" t="s">
        <v>11</v>
      </c>
      <c r="F153" t="s">
        <v>12</v>
      </c>
      <c r="G153" t="s">
        <v>35</v>
      </c>
      <c r="H153">
        <v>21312</v>
      </c>
      <c r="I153">
        <v>18369</v>
      </c>
      <c r="J153">
        <f t="shared" si="4"/>
        <v>2943</v>
      </c>
      <c r="K153" s="6">
        <f t="shared" si="5"/>
        <v>0.13809121621621623</v>
      </c>
    </row>
    <row r="154" spans="1:11" x14ac:dyDescent="0.35">
      <c r="A154">
        <v>153</v>
      </c>
      <c r="B154" s="1">
        <v>45663</v>
      </c>
      <c r="C154" t="s">
        <v>9</v>
      </c>
      <c r="D154" t="s">
        <v>18</v>
      </c>
      <c r="E154" t="s">
        <v>29</v>
      </c>
      <c r="F154" t="s">
        <v>75</v>
      </c>
      <c r="G154" t="s">
        <v>35</v>
      </c>
      <c r="H154">
        <v>8413</v>
      </c>
      <c r="I154">
        <v>6580</v>
      </c>
      <c r="J154">
        <f t="shared" si="4"/>
        <v>1833</v>
      </c>
      <c r="K154" s="6">
        <f t="shared" si="5"/>
        <v>0.21787709497206703</v>
      </c>
    </row>
    <row r="155" spans="1:11" x14ac:dyDescent="0.35">
      <c r="A155">
        <v>154</v>
      </c>
      <c r="B155" s="1">
        <v>45662</v>
      </c>
      <c r="C155" t="s">
        <v>17</v>
      </c>
      <c r="D155" t="s">
        <v>10</v>
      </c>
      <c r="E155" t="s">
        <v>21</v>
      </c>
      <c r="F155" t="s">
        <v>20</v>
      </c>
      <c r="G155" t="s">
        <v>33</v>
      </c>
      <c r="H155">
        <v>4693</v>
      </c>
      <c r="I155">
        <v>3566</v>
      </c>
      <c r="J155">
        <f t="shared" si="4"/>
        <v>1127</v>
      </c>
      <c r="K155" s="6">
        <f t="shared" si="5"/>
        <v>0.24014489665459193</v>
      </c>
    </row>
    <row r="156" spans="1:11" x14ac:dyDescent="0.35">
      <c r="A156">
        <v>155</v>
      </c>
      <c r="B156" s="1">
        <v>45677</v>
      </c>
      <c r="C156" t="s">
        <v>9</v>
      </c>
      <c r="D156" t="s">
        <v>18</v>
      </c>
      <c r="E156" t="s">
        <v>32</v>
      </c>
      <c r="F156" t="s">
        <v>24</v>
      </c>
      <c r="G156" t="s">
        <v>35</v>
      </c>
      <c r="H156">
        <v>24941</v>
      </c>
      <c r="I156">
        <v>19960</v>
      </c>
      <c r="J156">
        <f t="shared" si="4"/>
        <v>4981</v>
      </c>
      <c r="K156" s="6">
        <f t="shared" si="5"/>
        <v>0.19971131871216069</v>
      </c>
    </row>
    <row r="157" spans="1:11" x14ac:dyDescent="0.35">
      <c r="A157">
        <v>156</v>
      </c>
      <c r="B157" s="1">
        <v>45713</v>
      </c>
      <c r="C157" t="s">
        <v>9</v>
      </c>
      <c r="D157" t="s">
        <v>18</v>
      </c>
      <c r="E157" t="s">
        <v>19</v>
      </c>
      <c r="F157" t="s">
        <v>31</v>
      </c>
      <c r="G157" t="s">
        <v>33</v>
      </c>
      <c r="H157">
        <v>22511</v>
      </c>
      <c r="I157">
        <v>16616</v>
      </c>
      <c r="J157">
        <f t="shared" si="4"/>
        <v>5895</v>
      </c>
      <c r="K157" s="6">
        <f t="shared" si="5"/>
        <v>0.26187197370174581</v>
      </c>
    </row>
    <row r="158" spans="1:11" x14ac:dyDescent="0.35">
      <c r="A158">
        <v>157</v>
      </c>
      <c r="B158" s="1">
        <v>45672</v>
      </c>
      <c r="C158" t="s">
        <v>17</v>
      </c>
      <c r="D158" t="s">
        <v>10</v>
      </c>
      <c r="E158" t="s">
        <v>42</v>
      </c>
      <c r="F158" t="s">
        <v>38</v>
      </c>
      <c r="G158" t="s">
        <v>35</v>
      </c>
      <c r="H158">
        <v>13946</v>
      </c>
      <c r="I158">
        <v>12354</v>
      </c>
      <c r="J158">
        <f t="shared" si="4"/>
        <v>1592</v>
      </c>
      <c r="K158" s="6">
        <f t="shared" si="5"/>
        <v>0.11415459630001434</v>
      </c>
    </row>
    <row r="159" spans="1:11" x14ac:dyDescent="0.35">
      <c r="A159">
        <v>158</v>
      </c>
      <c r="B159" s="1">
        <v>45672</v>
      </c>
      <c r="C159" t="s">
        <v>9</v>
      </c>
      <c r="D159" t="s">
        <v>10</v>
      </c>
      <c r="E159" t="s">
        <v>21</v>
      </c>
      <c r="F159" t="s">
        <v>63</v>
      </c>
      <c r="G159" t="s">
        <v>23</v>
      </c>
      <c r="H159">
        <v>21242</v>
      </c>
      <c r="I159">
        <v>14098</v>
      </c>
      <c r="J159">
        <f t="shared" si="4"/>
        <v>7144</v>
      </c>
      <c r="K159" s="6">
        <f t="shared" si="5"/>
        <v>0.3363148479427549</v>
      </c>
    </row>
    <row r="160" spans="1:11" x14ac:dyDescent="0.35">
      <c r="A160">
        <v>159</v>
      </c>
      <c r="B160" s="1">
        <v>45697</v>
      </c>
      <c r="C160" t="s">
        <v>9</v>
      </c>
      <c r="D160" t="s">
        <v>18</v>
      </c>
      <c r="E160" t="s">
        <v>32</v>
      </c>
      <c r="F160" t="s">
        <v>31</v>
      </c>
      <c r="G160" t="s">
        <v>28</v>
      </c>
      <c r="H160">
        <v>22822</v>
      </c>
      <c r="I160">
        <v>18664</v>
      </c>
      <c r="J160">
        <f t="shared" si="4"/>
        <v>4158</v>
      </c>
      <c r="K160" s="6">
        <f t="shared" si="5"/>
        <v>0.18219262115502585</v>
      </c>
    </row>
    <row r="161" spans="1:11" x14ac:dyDescent="0.35">
      <c r="A161">
        <v>160</v>
      </c>
      <c r="B161" s="1">
        <v>45679</v>
      </c>
      <c r="C161" t="s">
        <v>14</v>
      </c>
      <c r="D161" t="s">
        <v>10</v>
      </c>
      <c r="E161" t="s">
        <v>11</v>
      </c>
      <c r="F161" t="s">
        <v>64</v>
      </c>
      <c r="G161" t="s">
        <v>23</v>
      </c>
      <c r="H161">
        <v>14825</v>
      </c>
      <c r="I161">
        <v>10070</v>
      </c>
      <c r="J161">
        <f t="shared" si="4"/>
        <v>4755</v>
      </c>
      <c r="K161" s="6">
        <f t="shared" si="5"/>
        <v>0.32074198988195618</v>
      </c>
    </row>
    <row r="162" spans="1:11" x14ac:dyDescent="0.35">
      <c r="A162">
        <v>161</v>
      </c>
      <c r="B162" s="1">
        <v>45666</v>
      </c>
      <c r="C162" t="s">
        <v>9</v>
      </c>
      <c r="D162" t="s">
        <v>18</v>
      </c>
      <c r="E162" t="s">
        <v>29</v>
      </c>
      <c r="F162" t="s">
        <v>22</v>
      </c>
      <c r="G162" t="s">
        <v>28</v>
      </c>
      <c r="H162">
        <v>10106</v>
      </c>
      <c r="I162">
        <v>9039</v>
      </c>
      <c r="J162">
        <f t="shared" si="4"/>
        <v>1067</v>
      </c>
      <c r="K162" s="6">
        <f t="shared" si="5"/>
        <v>0.10558084306352662</v>
      </c>
    </row>
    <row r="163" spans="1:11" x14ac:dyDescent="0.35">
      <c r="A163">
        <v>162</v>
      </c>
      <c r="B163" s="1">
        <v>45666</v>
      </c>
      <c r="C163" t="s">
        <v>17</v>
      </c>
      <c r="D163" t="s">
        <v>18</v>
      </c>
      <c r="E163" t="s">
        <v>29</v>
      </c>
      <c r="F163" t="s">
        <v>30</v>
      </c>
      <c r="G163" t="s">
        <v>33</v>
      </c>
      <c r="H163">
        <v>24181</v>
      </c>
      <c r="I163">
        <v>17254</v>
      </c>
      <c r="J163">
        <f t="shared" si="4"/>
        <v>6927</v>
      </c>
      <c r="K163" s="6">
        <f t="shared" si="5"/>
        <v>0.28646457962863403</v>
      </c>
    </row>
    <row r="164" spans="1:11" x14ac:dyDescent="0.35">
      <c r="A164">
        <v>163</v>
      </c>
      <c r="B164" s="1">
        <v>45691</v>
      </c>
      <c r="C164" t="s">
        <v>37</v>
      </c>
      <c r="D164" t="s">
        <v>10</v>
      </c>
      <c r="E164" t="s">
        <v>11</v>
      </c>
      <c r="F164" t="s">
        <v>73</v>
      </c>
      <c r="G164" t="s">
        <v>23</v>
      </c>
      <c r="H164">
        <v>8789</v>
      </c>
      <c r="I164">
        <v>6768</v>
      </c>
      <c r="J164">
        <f t="shared" si="4"/>
        <v>2021</v>
      </c>
      <c r="K164" s="6">
        <f t="shared" si="5"/>
        <v>0.22994652406417113</v>
      </c>
    </row>
    <row r="165" spans="1:11" x14ac:dyDescent="0.35">
      <c r="A165">
        <v>164</v>
      </c>
      <c r="B165" s="1">
        <v>45658</v>
      </c>
      <c r="C165" t="s">
        <v>17</v>
      </c>
      <c r="D165" t="s">
        <v>10</v>
      </c>
      <c r="E165" t="s">
        <v>42</v>
      </c>
      <c r="F165" t="s">
        <v>56</v>
      </c>
      <c r="G165" t="s">
        <v>23</v>
      </c>
      <c r="H165">
        <v>17609</v>
      </c>
      <c r="I165">
        <v>13022</v>
      </c>
      <c r="J165">
        <f t="shared" si="4"/>
        <v>4587</v>
      </c>
      <c r="K165" s="6">
        <f t="shared" si="5"/>
        <v>0.26049179396899313</v>
      </c>
    </row>
    <row r="166" spans="1:11" x14ac:dyDescent="0.35">
      <c r="A166">
        <v>165</v>
      </c>
      <c r="B166" s="1">
        <v>45712</v>
      </c>
      <c r="C166" t="s">
        <v>9</v>
      </c>
      <c r="D166" t="s">
        <v>10</v>
      </c>
      <c r="E166" t="s">
        <v>42</v>
      </c>
      <c r="F166" t="s">
        <v>72</v>
      </c>
      <c r="G166" t="s">
        <v>23</v>
      </c>
      <c r="H166">
        <v>12827</v>
      </c>
      <c r="I166">
        <v>10421</v>
      </c>
      <c r="J166">
        <f t="shared" si="4"/>
        <v>2406</v>
      </c>
      <c r="K166" s="6">
        <f t="shared" si="5"/>
        <v>0.18757308801746317</v>
      </c>
    </row>
    <row r="167" spans="1:11" x14ac:dyDescent="0.35">
      <c r="A167">
        <v>166</v>
      </c>
      <c r="B167" s="1">
        <v>45658</v>
      </c>
      <c r="C167" t="s">
        <v>37</v>
      </c>
      <c r="D167" t="s">
        <v>10</v>
      </c>
      <c r="E167" t="s">
        <v>11</v>
      </c>
      <c r="F167" t="s">
        <v>41</v>
      </c>
      <c r="G167" t="s">
        <v>13</v>
      </c>
      <c r="H167">
        <v>7741</v>
      </c>
      <c r="I167">
        <v>6783</v>
      </c>
      <c r="J167">
        <f t="shared" si="4"/>
        <v>958</v>
      </c>
      <c r="K167" s="6">
        <f t="shared" si="5"/>
        <v>0.12375662059165482</v>
      </c>
    </row>
    <row r="168" spans="1:11" x14ac:dyDescent="0.35">
      <c r="A168">
        <v>167</v>
      </c>
      <c r="B168" s="1">
        <v>45662</v>
      </c>
      <c r="C168" t="s">
        <v>37</v>
      </c>
      <c r="D168" t="s">
        <v>18</v>
      </c>
      <c r="E168" t="s">
        <v>29</v>
      </c>
      <c r="F168" t="s">
        <v>45</v>
      </c>
      <c r="G168" t="s">
        <v>23</v>
      </c>
      <c r="H168">
        <v>27959</v>
      </c>
      <c r="I168">
        <v>23794</v>
      </c>
      <c r="J168">
        <f t="shared" si="4"/>
        <v>4165</v>
      </c>
      <c r="K168" s="6">
        <f t="shared" si="5"/>
        <v>0.14896813190743588</v>
      </c>
    </row>
    <row r="169" spans="1:11" x14ac:dyDescent="0.35">
      <c r="A169">
        <v>168</v>
      </c>
      <c r="B169" s="1">
        <v>45701</v>
      </c>
      <c r="C169" t="s">
        <v>9</v>
      </c>
      <c r="D169" t="s">
        <v>10</v>
      </c>
      <c r="E169" t="s">
        <v>15</v>
      </c>
      <c r="F169" t="s">
        <v>73</v>
      </c>
      <c r="G169" t="s">
        <v>13</v>
      </c>
      <c r="H169">
        <v>9260</v>
      </c>
      <c r="I169">
        <v>8117</v>
      </c>
      <c r="J169">
        <f t="shared" si="4"/>
        <v>1143</v>
      </c>
      <c r="K169" s="6">
        <f t="shared" si="5"/>
        <v>0.12343412526997841</v>
      </c>
    </row>
    <row r="170" spans="1:11" x14ac:dyDescent="0.35">
      <c r="A170">
        <v>169</v>
      </c>
      <c r="B170" s="1">
        <v>45701</v>
      </c>
      <c r="C170" t="s">
        <v>37</v>
      </c>
      <c r="D170" t="s">
        <v>18</v>
      </c>
      <c r="E170" t="s">
        <v>32</v>
      </c>
      <c r="F170" t="s">
        <v>59</v>
      </c>
      <c r="G170" t="s">
        <v>13</v>
      </c>
      <c r="H170">
        <v>23426</v>
      </c>
      <c r="I170">
        <v>18470</v>
      </c>
      <c r="J170">
        <f t="shared" si="4"/>
        <v>4956</v>
      </c>
      <c r="K170" s="6">
        <f t="shared" si="5"/>
        <v>0.21155980534448904</v>
      </c>
    </row>
    <row r="171" spans="1:11" x14ac:dyDescent="0.35">
      <c r="A171">
        <v>170</v>
      </c>
      <c r="B171" s="1">
        <v>45707</v>
      </c>
      <c r="C171" t="s">
        <v>17</v>
      </c>
      <c r="D171" t="s">
        <v>10</v>
      </c>
      <c r="E171" t="s">
        <v>11</v>
      </c>
      <c r="F171" t="s">
        <v>69</v>
      </c>
      <c r="G171" t="s">
        <v>28</v>
      </c>
      <c r="H171">
        <v>9672</v>
      </c>
      <c r="I171">
        <v>7495</v>
      </c>
      <c r="J171">
        <f t="shared" si="4"/>
        <v>2177</v>
      </c>
      <c r="K171" s="6">
        <f t="shared" si="5"/>
        <v>0.22508271298593879</v>
      </c>
    </row>
    <row r="172" spans="1:11" x14ac:dyDescent="0.35">
      <c r="A172">
        <v>171</v>
      </c>
      <c r="B172" s="1">
        <v>45671</v>
      </c>
      <c r="C172" t="s">
        <v>14</v>
      </c>
      <c r="D172" t="s">
        <v>10</v>
      </c>
      <c r="E172" t="s">
        <v>42</v>
      </c>
      <c r="F172" t="s">
        <v>67</v>
      </c>
      <c r="G172" t="s">
        <v>35</v>
      </c>
      <c r="H172">
        <v>15655</v>
      </c>
      <c r="I172">
        <v>12741</v>
      </c>
      <c r="J172">
        <f t="shared" si="4"/>
        <v>2914</v>
      </c>
      <c r="K172" s="6">
        <f t="shared" si="5"/>
        <v>0.18613861386138614</v>
      </c>
    </row>
    <row r="173" spans="1:11" x14ac:dyDescent="0.35">
      <c r="A173">
        <v>172</v>
      </c>
      <c r="B173" s="1">
        <v>45694</v>
      </c>
      <c r="C173" t="s">
        <v>14</v>
      </c>
      <c r="D173" t="s">
        <v>10</v>
      </c>
      <c r="E173" t="s">
        <v>21</v>
      </c>
      <c r="F173" t="s">
        <v>30</v>
      </c>
      <c r="G173" t="s">
        <v>33</v>
      </c>
      <c r="H173">
        <v>4896</v>
      </c>
      <c r="I173">
        <v>3209</v>
      </c>
      <c r="J173">
        <f t="shared" si="4"/>
        <v>1687</v>
      </c>
      <c r="K173" s="6">
        <f t="shared" si="5"/>
        <v>0.34456699346405228</v>
      </c>
    </row>
    <row r="174" spans="1:11" x14ac:dyDescent="0.35">
      <c r="A174">
        <v>173</v>
      </c>
      <c r="B174" s="1">
        <v>45681</v>
      </c>
      <c r="C174" t="s">
        <v>17</v>
      </c>
      <c r="D174" t="s">
        <v>10</v>
      </c>
      <c r="E174" t="s">
        <v>15</v>
      </c>
      <c r="F174" t="s">
        <v>77</v>
      </c>
      <c r="G174" t="s">
        <v>13</v>
      </c>
      <c r="H174">
        <v>26624</v>
      </c>
      <c r="I174">
        <v>22645</v>
      </c>
      <c r="J174">
        <f t="shared" si="4"/>
        <v>3979</v>
      </c>
      <c r="K174" s="6">
        <f t="shared" si="5"/>
        <v>0.14945162259615385</v>
      </c>
    </row>
    <row r="175" spans="1:11" x14ac:dyDescent="0.35">
      <c r="A175">
        <v>174</v>
      </c>
      <c r="B175" s="1">
        <v>45663</v>
      </c>
      <c r="C175" t="s">
        <v>9</v>
      </c>
      <c r="D175" t="s">
        <v>10</v>
      </c>
      <c r="E175" t="s">
        <v>11</v>
      </c>
      <c r="F175" t="s">
        <v>50</v>
      </c>
      <c r="G175" t="s">
        <v>28</v>
      </c>
      <c r="H175">
        <v>12390</v>
      </c>
      <c r="I175">
        <v>7893</v>
      </c>
      <c r="J175">
        <f t="shared" si="4"/>
        <v>4497</v>
      </c>
      <c r="K175" s="6">
        <f t="shared" si="5"/>
        <v>0.36295399515738497</v>
      </c>
    </row>
    <row r="176" spans="1:11" x14ac:dyDescent="0.35">
      <c r="A176">
        <v>175</v>
      </c>
      <c r="B176" s="1">
        <v>45666</v>
      </c>
      <c r="C176" t="s">
        <v>37</v>
      </c>
      <c r="D176" t="s">
        <v>18</v>
      </c>
      <c r="E176" t="s">
        <v>32</v>
      </c>
      <c r="F176" t="s">
        <v>41</v>
      </c>
      <c r="G176" t="s">
        <v>23</v>
      </c>
      <c r="H176">
        <v>16540</v>
      </c>
      <c r="I176">
        <v>13760</v>
      </c>
      <c r="J176">
        <f t="shared" si="4"/>
        <v>2780</v>
      </c>
      <c r="K176" s="6">
        <f t="shared" si="5"/>
        <v>0.16807738814993953</v>
      </c>
    </row>
    <row r="177" spans="1:11" x14ac:dyDescent="0.35">
      <c r="A177">
        <v>176</v>
      </c>
      <c r="B177" s="1">
        <v>45663</v>
      </c>
      <c r="C177" t="s">
        <v>9</v>
      </c>
      <c r="D177" t="s">
        <v>10</v>
      </c>
      <c r="E177" t="s">
        <v>42</v>
      </c>
      <c r="F177" t="s">
        <v>22</v>
      </c>
      <c r="G177" t="s">
        <v>13</v>
      </c>
      <c r="H177">
        <v>10981</v>
      </c>
      <c r="I177">
        <v>7782</v>
      </c>
      <c r="J177">
        <f t="shared" si="4"/>
        <v>3199</v>
      </c>
      <c r="K177" s="6">
        <f t="shared" si="5"/>
        <v>0.29132137328112195</v>
      </c>
    </row>
    <row r="178" spans="1:11" x14ac:dyDescent="0.35">
      <c r="A178">
        <v>177</v>
      </c>
      <c r="B178" s="1">
        <v>45702</v>
      </c>
      <c r="C178" t="s">
        <v>37</v>
      </c>
      <c r="D178" t="s">
        <v>10</v>
      </c>
      <c r="E178" t="s">
        <v>21</v>
      </c>
      <c r="F178" t="s">
        <v>57</v>
      </c>
      <c r="G178" t="s">
        <v>13</v>
      </c>
      <c r="H178">
        <v>11754</v>
      </c>
      <c r="I178">
        <v>8066</v>
      </c>
      <c r="J178">
        <f t="shared" si="4"/>
        <v>3688</v>
      </c>
      <c r="K178" s="6">
        <f t="shared" si="5"/>
        <v>0.31376552662923263</v>
      </c>
    </row>
    <row r="179" spans="1:11" x14ac:dyDescent="0.35">
      <c r="A179">
        <v>178</v>
      </c>
      <c r="B179" s="1">
        <v>45704</v>
      </c>
      <c r="C179" t="s">
        <v>37</v>
      </c>
      <c r="D179" t="s">
        <v>10</v>
      </c>
      <c r="E179" t="s">
        <v>21</v>
      </c>
      <c r="F179" t="s">
        <v>30</v>
      </c>
      <c r="G179" t="s">
        <v>28</v>
      </c>
      <c r="H179">
        <v>19787</v>
      </c>
      <c r="I179">
        <v>16448</v>
      </c>
      <c r="J179">
        <f t="shared" si="4"/>
        <v>3339</v>
      </c>
      <c r="K179" s="6">
        <f t="shared" si="5"/>
        <v>0.16874715722444028</v>
      </c>
    </row>
    <row r="180" spans="1:11" x14ac:dyDescent="0.35">
      <c r="A180">
        <v>179</v>
      </c>
      <c r="B180" s="1">
        <v>45662</v>
      </c>
      <c r="C180" t="s">
        <v>14</v>
      </c>
      <c r="D180" t="s">
        <v>10</v>
      </c>
      <c r="E180" t="s">
        <v>42</v>
      </c>
      <c r="F180" t="s">
        <v>38</v>
      </c>
      <c r="G180" t="s">
        <v>28</v>
      </c>
      <c r="H180">
        <v>7183</v>
      </c>
      <c r="I180">
        <v>6189</v>
      </c>
      <c r="J180">
        <f t="shared" si="4"/>
        <v>994</v>
      </c>
      <c r="K180" s="6">
        <f t="shared" si="5"/>
        <v>0.13838229152164833</v>
      </c>
    </row>
    <row r="181" spans="1:11" x14ac:dyDescent="0.35">
      <c r="A181">
        <v>180</v>
      </c>
      <c r="B181" s="1">
        <v>45701</v>
      </c>
      <c r="C181" t="s">
        <v>14</v>
      </c>
      <c r="D181" t="s">
        <v>10</v>
      </c>
      <c r="E181" t="s">
        <v>15</v>
      </c>
      <c r="F181" t="s">
        <v>59</v>
      </c>
      <c r="G181" t="s">
        <v>35</v>
      </c>
      <c r="H181">
        <v>9341</v>
      </c>
      <c r="I181">
        <v>8029</v>
      </c>
      <c r="J181">
        <f t="shared" si="4"/>
        <v>1312</v>
      </c>
      <c r="K181" s="6">
        <f t="shared" si="5"/>
        <v>0.14045605395567926</v>
      </c>
    </row>
    <row r="182" spans="1:11" x14ac:dyDescent="0.35">
      <c r="A182">
        <v>181</v>
      </c>
      <c r="B182" s="1">
        <v>45671</v>
      </c>
      <c r="C182" t="s">
        <v>17</v>
      </c>
      <c r="D182" t="s">
        <v>10</v>
      </c>
      <c r="E182" t="s">
        <v>21</v>
      </c>
      <c r="F182" t="s">
        <v>71</v>
      </c>
      <c r="G182" t="s">
        <v>28</v>
      </c>
      <c r="H182">
        <v>17968</v>
      </c>
      <c r="I182">
        <v>13010</v>
      </c>
      <c r="J182">
        <f t="shared" si="4"/>
        <v>4958</v>
      </c>
      <c r="K182" s="6">
        <f t="shared" si="5"/>
        <v>0.27593499554764023</v>
      </c>
    </row>
    <row r="183" spans="1:11" x14ac:dyDescent="0.35">
      <c r="A183">
        <v>182</v>
      </c>
      <c r="B183" s="1">
        <v>45680</v>
      </c>
      <c r="C183" t="s">
        <v>37</v>
      </c>
      <c r="D183" t="s">
        <v>18</v>
      </c>
      <c r="E183" t="s">
        <v>26</v>
      </c>
      <c r="F183" t="s">
        <v>71</v>
      </c>
      <c r="G183" t="s">
        <v>13</v>
      </c>
      <c r="H183">
        <v>13825</v>
      </c>
      <c r="I183">
        <v>8726</v>
      </c>
      <c r="J183">
        <f t="shared" si="4"/>
        <v>5099</v>
      </c>
      <c r="K183" s="6">
        <f t="shared" si="5"/>
        <v>0.36882459312839061</v>
      </c>
    </row>
    <row r="184" spans="1:11" x14ac:dyDescent="0.35">
      <c r="A184">
        <v>183</v>
      </c>
      <c r="B184" s="1">
        <v>45669</v>
      </c>
      <c r="C184" t="s">
        <v>14</v>
      </c>
      <c r="D184" t="s">
        <v>10</v>
      </c>
      <c r="E184" t="s">
        <v>42</v>
      </c>
      <c r="F184" t="s">
        <v>53</v>
      </c>
      <c r="G184" t="s">
        <v>23</v>
      </c>
      <c r="H184">
        <v>12841</v>
      </c>
      <c r="I184">
        <v>11391</v>
      </c>
      <c r="J184">
        <f t="shared" si="4"/>
        <v>1450</v>
      </c>
      <c r="K184" s="6">
        <f t="shared" si="5"/>
        <v>0.11291955455182619</v>
      </c>
    </row>
    <row r="185" spans="1:11" x14ac:dyDescent="0.35">
      <c r="A185">
        <v>184</v>
      </c>
      <c r="B185" s="1">
        <v>45683</v>
      </c>
      <c r="C185" t="s">
        <v>14</v>
      </c>
      <c r="D185" t="s">
        <v>10</v>
      </c>
      <c r="E185" t="s">
        <v>42</v>
      </c>
      <c r="F185" t="s">
        <v>27</v>
      </c>
      <c r="G185" t="s">
        <v>28</v>
      </c>
      <c r="H185">
        <v>15573</v>
      </c>
      <c r="I185">
        <v>9363</v>
      </c>
      <c r="J185">
        <f t="shared" si="4"/>
        <v>6210</v>
      </c>
      <c r="K185" s="6">
        <f t="shared" si="5"/>
        <v>0.39876709689847811</v>
      </c>
    </row>
    <row r="186" spans="1:11" x14ac:dyDescent="0.35">
      <c r="A186">
        <v>185</v>
      </c>
      <c r="B186" s="1">
        <v>45705</v>
      </c>
      <c r="C186" t="s">
        <v>17</v>
      </c>
      <c r="D186" t="s">
        <v>18</v>
      </c>
      <c r="E186" t="s">
        <v>29</v>
      </c>
      <c r="F186" t="s">
        <v>36</v>
      </c>
      <c r="G186" t="s">
        <v>23</v>
      </c>
      <c r="H186">
        <v>14137</v>
      </c>
      <c r="I186">
        <v>11432</v>
      </c>
      <c r="J186">
        <f t="shared" si="4"/>
        <v>2705</v>
      </c>
      <c r="K186" s="6">
        <f t="shared" si="5"/>
        <v>0.19134186885477825</v>
      </c>
    </row>
    <row r="187" spans="1:11" x14ac:dyDescent="0.35">
      <c r="A187">
        <v>186</v>
      </c>
      <c r="B187" s="1">
        <v>45675</v>
      </c>
      <c r="C187" t="s">
        <v>17</v>
      </c>
      <c r="D187" t="s">
        <v>10</v>
      </c>
      <c r="E187" t="s">
        <v>42</v>
      </c>
      <c r="F187" t="s">
        <v>54</v>
      </c>
      <c r="G187" t="s">
        <v>33</v>
      </c>
      <c r="H187">
        <v>10389</v>
      </c>
      <c r="I187">
        <v>8448</v>
      </c>
      <c r="J187">
        <f t="shared" si="4"/>
        <v>1941</v>
      </c>
      <c r="K187" s="6">
        <f t="shared" si="5"/>
        <v>0.1868322263933006</v>
      </c>
    </row>
    <row r="188" spans="1:11" x14ac:dyDescent="0.35">
      <c r="A188">
        <v>187</v>
      </c>
      <c r="B188" s="1">
        <v>45705</v>
      </c>
      <c r="C188" t="s">
        <v>14</v>
      </c>
      <c r="D188" t="s">
        <v>10</v>
      </c>
      <c r="E188" t="s">
        <v>42</v>
      </c>
      <c r="F188" t="s">
        <v>51</v>
      </c>
      <c r="G188" t="s">
        <v>28</v>
      </c>
      <c r="H188">
        <v>17123</v>
      </c>
      <c r="I188">
        <v>12494</v>
      </c>
      <c r="J188">
        <f t="shared" si="4"/>
        <v>4629</v>
      </c>
      <c r="K188" s="6">
        <f t="shared" si="5"/>
        <v>0.27033814168078024</v>
      </c>
    </row>
    <row r="189" spans="1:11" x14ac:dyDescent="0.35">
      <c r="A189">
        <v>188</v>
      </c>
      <c r="B189" s="1">
        <v>45717</v>
      </c>
      <c r="C189" t="s">
        <v>37</v>
      </c>
      <c r="D189" t="s">
        <v>18</v>
      </c>
      <c r="E189" t="s">
        <v>19</v>
      </c>
      <c r="F189" t="s">
        <v>57</v>
      </c>
      <c r="G189" t="s">
        <v>23</v>
      </c>
      <c r="H189">
        <v>23457</v>
      </c>
      <c r="I189">
        <v>20867</v>
      </c>
      <c r="J189">
        <f t="shared" si="4"/>
        <v>2590</v>
      </c>
      <c r="K189" s="6">
        <f t="shared" si="5"/>
        <v>0.11041480155177559</v>
      </c>
    </row>
    <row r="190" spans="1:11" x14ac:dyDescent="0.35">
      <c r="A190">
        <v>189</v>
      </c>
      <c r="B190" s="1">
        <v>45699</v>
      </c>
      <c r="C190" t="s">
        <v>17</v>
      </c>
      <c r="D190" t="s">
        <v>18</v>
      </c>
      <c r="E190" t="s">
        <v>19</v>
      </c>
      <c r="F190" t="s">
        <v>68</v>
      </c>
      <c r="G190" t="s">
        <v>13</v>
      </c>
      <c r="H190">
        <v>12542</v>
      </c>
      <c r="I190">
        <v>10524</v>
      </c>
      <c r="J190">
        <f t="shared" si="4"/>
        <v>2018</v>
      </c>
      <c r="K190" s="6">
        <f t="shared" si="5"/>
        <v>0.16089937808961888</v>
      </c>
    </row>
    <row r="191" spans="1:11" x14ac:dyDescent="0.35">
      <c r="A191">
        <v>190</v>
      </c>
      <c r="B191" s="1">
        <v>45675</v>
      </c>
      <c r="C191" t="s">
        <v>14</v>
      </c>
      <c r="D191" t="s">
        <v>18</v>
      </c>
      <c r="E191" t="s">
        <v>26</v>
      </c>
      <c r="F191" t="s">
        <v>63</v>
      </c>
      <c r="G191" t="s">
        <v>35</v>
      </c>
      <c r="H191">
        <v>11297</v>
      </c>
      <c r="I191">
        <v>9166</v>
      </c>
      <c r="J191">
        <f t="shared" si="4"/>
        <v>2131</v>
      </c>
      <c r="K191" s="6">
        <f t="shared" si="5"/>
        <v>0.18863415065946712</v>
      </c>
    </row>
    <row r="192" spans="1:11" x14ac:dyDescent="0.35">
      <c r="A192">
        <v>191</v>
      </c>
      <c r="B192" s="1">
        <v>45662</v>
      </c>
      <c r="C192" t="s">
        <v>9</v>
      </c>
      <c r="D192" t="s">
        <v>18</v>
      </c>
      <c r="E192" t="s">
        <v>26</v>
      </c>
      <c r="F192" t="s">
        <v>71</v>
      </c>
      <c r="G192" t="s">
        <v>33</v>
      </c>
      <c r="H192">
        <v>20988</v>
      </c>
      <c r="I192">
        <v>14469</v>
      </c>
      <c r="J192">
        <f t="shared" si="4"/>
        <v>6519</v>
      </c>
      <c r="K192" s="6">
        <f t="shared" si="5"/>
        <v>0.31060606060606061</v>
      </c>
    </row>
    <row r="193" spans="1:11" x14ac:dyDescent="0.35">
      <c r="A193">
        <v>192</v>
      </c>
      <c r="B193" s="1">
        <v>45677</v>
      </c>
      <c r="C193" t="s">
        <v>9</v>
      </c>
      <c r="D193" t="s">
        <v>18</v>
      </c>
      <c r="E193" t="s">
        <v>29</v>
      </c>
      <c r="F193" t="s">
        <v>77</v>
      </c>
      <c r="G193" t="s">
        <v>13</v>
      </c>
      <c r="H193">
        <v>22125</v>
      </c>
      <c r="I193">
        <v>18956</v>
      </c>
      <c r="J193">
        <f t="shared" si="4"/>
        <v>3169</v>
      </c>
      <c r="K193" s="6">
        <f t="shared" si="5"/>
        <v>0.14323163841807909</v>
      </c>
    </row>
    <row r="194" spans="1:11" x14ac:dyDescent="0.35">
      <c r="A194">
        <v>193</v>
      </c>
      <c r="B194" s="1">
        <v>45699</v>
      </c>
      <c r="C194" t="s">
        <v>14</v>
      </c>
      <c r="D194" t="s">
        <v>18</v>
      </c>
      <c r="E194" t="s">
        <v>29</v>
      </c>
      <c r="F194" t="s">
        <v>54</v>
      </c>
      <c r="G194" t="s">
        <v>28</v>
      </c>
      <c r="H194">
        <v>24547</v>
      </c>
      <c r="I194">
        <v>22049</v>
      </c>
      <c r="J194">
        <f t="shared" si="4"/>
        <v>2498</v>
      </c>
      <c r="K194" s="6">
        <f t="shared" si="5"/>
        <v>0.10176396300973642</v>
      </c>
    </row>
    <row r="195" spans="1:11" x14ac:dyDescent="0.35">
      <c r="A195">
        <v>194</v>
      </c>
      <c r="B195" s="1">
        <v>45664</v>
      </c>
      <c r="C195" t="s">
        <v>9</v>
      </c>
      <c r="D195" t="s">
        <v>18</v>
      </c>
      <c r="E195" t="s">
        <v>29</v>
      </c>
      <c r="F195" t="s">
        <v>44</v>
      </c>
      <c r="G195" t="s">
        <v>33</v>
      </c>
      <c r="H195">
        <v>24450</v>
      </c>
      <c r="I195">
        <v>15331</v>
      </c>
      <c r="J195">
        <f t="shared" ref="J195:J201" si="6">H195-I195</f>
        <v>9119</v>
      </c>
      <c r="K195" s="6">
        <f t="shared" ref="K195:K201" si="7">J195/H195</f>
        <v>0.37296523517382413</v>
      </c>
    </row>
    <row r="196" spans="1:11" x14ac:dyDescent="0.35">
      <c r="A196">
        <v>195</v>
      </c>
      <c r="B196" s="1">
        <v>45690</v>
      </c>
      <c r="C196" t="s">
        <v>14</v>
      </c>
      <c r="D196" t="s">
        <v>10</v>
      </c>
      <c r="E196" t="s">
        <v>11</v>
      </c>
      <c r="F196" t="s">
        <v>47</v>
      </c>
      <c r="G196" t="s">
        <v>28</v>
      </c>
      <c r="H196">
        <v>6284</v>
      </c>
      <c r="I196">
        <v>4993</v>
      </c>
      <c r="J196">
        <f t="shared" si="6"/>
        <v>1291</v>
      </c>
      <c r="K196" s="6">
        <f t="shared" si="7"/>
        <v>0.20544239338001274</v>
      </c>
    </row>
    <row r="197" spans="1:11" x14ac:dyDescent="0.35">
      <c r="A197">
        <v>196</v>
      </c>
      <c r="B197" s="1">
        <v>45702</v>
      </c>
      <c r="C197" t="s">
        <v>14</v>
      </c>
      <c r="D197" t="s">
        <v>18</v>
      </c>
      <c r="E197" t="s">
        <v>19</v>
      </c>
      <c r="F197" t="s">
        <v>49</v>
      </c>
      <c r="G197" t="s">
        <v>33</v>
      </c>
      <c r="H197">
        <v>12554</v>
      </c>
      <c r="I197">
        <v>7624</v>
      </c>
      <c r="J197">
        <f t="shared" si="6"/>
        <v>4930</v>
      </c>
      <c r="K197" s="6">
        <f t="shared" si="7"/>
        <v>0.39270352079018639</v>
      </c>
    </row>
    <row r="198" spans="1:11" x14ac:dyDescent="0.35">
      <c r="A198">
        <v>197</v>
      </c>
      <c r="B198" s="1">
        <v>45682</v>
      </c>
      <c r="C198" t="s">
        <v>9</v>
      </c>
      <c r="D198" t="s">
        <v>10</v>
      </c>
      <c r="E198" t="s">
        <v>42</v>
      </c>
      <c r="F198" t="s">
        <v>73</v>
      </c>
      <c r="G198" t="s">
        <v>35</v>
      </c>
      <c r="H198">
        <v>3970</v>
      </c>
      <c r="I198">
        <v>3382</v>
      </c>
      <c r="J198">
        <f t="shared" si="6"/>
        <v>588</v>
      </c>
      <c r="K198" s="6">
        <f t="shared" si="7"/>
        <v>0.14811083123425692</v>
      </c>
    </row>
    <row r="199" spans="1:11" x14ac:dyDescent="0.35">
      <c r="A199">
        <v>198</v>
      </c>
      <c r="B199" s="1">
        <v>45710</v>
      </c>
      <c r="C199" t="s">
        <v>17</v>
      </c>
      <c r="D199" t="s">
        <v>10</v>
      </c>
      <c r="E199" t="s">
        <v>42</v>
      </c>
      <c r="F199" t="s">
        <v>73</v>
      </c>
      <c r="G199" t="s">
        <v>35</v>
      </c>
      <c r="H199">
        <v>7069</v>
      </c>
      <c r="I199">
        <v>4510</v>
      </c>
      <c r="J199">
        <f t="shared" si="6"/>
        <v>2559</v>
      </c>
      <c r="K199" s="6">
        <f t="shared" si="7"/>
        <v>0.36200311217994058</v>
      </c>
    </row>
    <row r="200" spans="1:11" x14ac:dyDescent="0.35">
      <c r="A200">
        <v>199</v>
      </c>
      <c r="B200" s="1">
        <v>45707</v>
      </c>
      <c r="C200" t="s">
        <v>14</v>
      </c>
      <c r="D200" t="s">
        <v>18</v>
      </c>
      <c r="E200" t="s">
        <v>19</v>
      </c>
      <c r="F200" t="s">
        <v>30</v>
      </c>
      <c r="G200" t="s">
        <v>35</v>
      </c>
      <c r="H200">
        <v>17934</v>
      </c>
      <c r="I200">
        <v>14381</v>
      </c>
      <c r="J200">
        <f t="shared" si="6"/>
        <v>3553</v>
      </c>
      <c r="K200" s="6">
        <f t="shared" si="7"/>
        <v>0.19811531169844987</v>
      </c>
    </row>
    <row r="201" spans="1:11" x14ac:dyDescent="0.35">
      <c r="A201">
        <v>200</v>
      </c>
      <c r="B201" s="1">
        <v>45683</v>
      </c>
      <c r="C201" t="s">
        <v>37</v>
      </c>
      <c r="D201" t="s">
        <v>18</v>
      </c>
      <c r="E201" t="s">
        <v>29</v>
      </c>
      <c r="F201" t="s">
        <v>43</v>
      </c>
      <c r="G201" t="s">
        <v>35</v>
      </c>
      <c r="H201">
        <v>6437</v>
      </c>
      <c r="I201">
        <v>4292</v>
      </c>
      <c r="J201">
        <f t="shared" si="6"/>
        <v>2145</v>
      </c>
      <c r="K201" s="6">
        <f t="shared" si="7"/>
        <v>0.33322976541867327</v>
      </c>
    </row>
    <row r="203" spans="1:11" ht="18.5" x14ac:dyDescent="0.45">
      <c r="C203" s="7" t="s">
        <v>104</v>
      </c>
      <c r="H203" s="7">
        <f>SUBTOTAL(9,H2:H201)</f>
        <v>3235200</v>
      </c>
      <c r="I203" s="7">
        <f>SUBTOTAL(9,I2:I201)</f>
        <v>2447134</v>
      </c>
      <c r="J203" s="7">
        <f>SUBTOTAL(9,J2:J201)</f>
        <v>788066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1"/>
  <sheetViews>
    <sheetView topLeftCell="M32" workbookViewId="0">
      <selection activeCell="R51" sqref="R51"/>
    </sheetView>
  </sheetViews>
  <sheetFormatPr defaultRowHeight="14.5" x14ac:dyDescent="0.35"/>
  <cols>
    <col min="2" max="2" width="21.36328125" customWidth="1"/>
    <col min="7" max="7" width="16.26953125" customWidth="1"/>
    <col min="17" max="17" width="15.26953125" customWidth="1"/>
    <col min="18" max="18" width="50.26953125" customWidth="1"/>
    <col min="19" max="19" width="56.08984375" customWidth="1"/>
    <col min="20" max="20" width="10.453125" bestFit="1" customWidth="1"/>
  </cols>
  <sheetData>
    <row r="1" spans="1:20" x14ac:dyDescent="0.35">
      <c r="A1" t="s">
        <v>0</v>
      </c>
      <c r="B1" t="s">
        <v>1</v>
      </c>
      <c r="C1" t="s">
        <v>2</v>
      </c>
      <c r="D1" t="s">
        <v>3</v>
      </c>
      <c r="E1" t="s">
        <v>4</v>
      </c>
      <c r="F1" t="s">
        <v>5</v>
      </c>
      <c r="G1" t="s">
        <v>6</v>
      </c>
      <c r="H1" t="s">
        <v>7</v>
      </c>
      <c r="I1" t="s">
        <v>8</v>
      </c>
      <c r="J1" t="s">
        <v>100</v>
      </c>
      <c r="K1" t="s">
        <v>101</v>
      </c>
      <c r="L1" t="s">
        <v>129</v>
      </c>
      <c r="M1" t="s">
        <v>79</v>
      </c>
      <c r="N1" t="s">
        <v>138</v>
      </c>
      <c r="O1" t="s">
        <v>140</v>
      </c>
      <c r="P1" t="s">
        <v>142</v>
      </c>
      <c r="Q1" t="s">
        <v>155</v>
      </c>
    </row>
    <row r="2" spans="1:20" ht="18.5" x14ac:dyDescent="0.45">
      <c r="A2">
        <v>1</v>
      </c>
      <c r="B2" s="1">
        <v>45660</v>
      </c>
      <c r="C2" t="s">
        <v>9</v>
      </c>
      <c r="D2" t="s">
        <v>10</v>
      </c>
      <c r="E2" t="s">
        <v>11</v>
      </c>
      <c r="F2" t="s">
        <v>12</v>
      </c>
      <c r="G2" t="s">
        <v>13</v>
      </c>
      <c r="H2">
        <v>5811</v>
      </c>
      <c r="I2">
        <v>5067</v>
      </c>
      <c r="J2">
        <f>H2-I2</f>
        <v>744</v>
      </c>
      <c r="K2" s="6">
        <f>J2/H2</f>
        <v>0.12803304078471864</v>
      </c>
      <c r="L2" t="str">
        <f t="array" ref="L2">_xlfn.IFS(J2&gt;15000,"Excellent",J2&gt;=5000,"Good",J2&lt;5000,"Poor")</f>
        <v>Poor</v>
      </c>
      <c r="M2">
        <f>_xlfn.XLOOKUP(G2,' Employee_Salary'!$A$2:$A$6,' Employee_Salary'!$B$2:$B$6)</f>
        <v>47000</v>
      </c>
      <c r="N2" s="9">
        <f>M2/H2</f>
        <v>8.0881087592496996</v>
      </c>
      <c r="O2" s="9">
        <f>IF(D2="Electronics",H2*5%,IF(D2="Furniture",H2*8%,0))</f>
        <v>464.88</v>
      </c>
      <c r="P2">
        <f>_xlfn.RANK.EQ(H2,$H$2:$H$201,0)</f>
        <v>179</v>
      </c>
      <c r="Q2">
        <f>SUMIFS($H$2:$H$201,$B$2:$B$201,"&lt;="&amp;B2)</f>
        <v>118866</v>
      </c>
      <c r="R2" s="3" t="s">
        <v>110</v>
      </c>
      <c r="S2" s="5" t="s">
        <v>118</v>
      </c>
      <c r="T2" s="3" t="s">
        <v>127</v>
      </c>
    </row>
    <row r="3" spans="1:20" x14ac:dyDescent="0.35">
      <c r="A3">
        <v>2</v>
      </c>
      <c r="B3" s="1">
        <v>45710</v>
      </c>
      <c r="C3" t="s">
        <v>14</v>
      </c>
      <c r="D3" t="s">
        <v>10</v>
      </c>
      <c r="E3" t="s">
        <v>15</v>
      </c>
      <c r="F3" t="s">
        <v>16</v>
      </c>
      <c r="G3" t="s">
        <v>13</v>
      </c>
      <c r="H3">
        <v>13553</v>
      </c>
      <c r="I3">
        <v>8173</v>
      </c>
      <c r="J3">
        <f>H3-I3</f>
        <v>5380</v>
      </c>
      <c r="K3" s="6">
        <f>J3/H3</f>
        <v>0.39696008263853022</v>
      </c>
      <c r="L3" t="str">
        <f t="array" ref="L3">_xlfn.IFS(J3&gt;15000,"Excellent",J3&gt;=5000,"Good",J3&lt;5000,"Poor")</f>
        <v>Good</v>
      </c>
      <c r="M3">
        <f>_xlfn.XLOOKUP(G3,' Employee_Salary'!$A$1:A7,' Employee_Salary'!$B$1:B7,FALSE)</f>
        <v>47000</v>
      </c>
      <c r="N3" s="9">
        <f>M3/H3</f>
        <v>3.4678668929388325</v>
      </c>
      <c r="O3" s="9">
        <f>IF(D3="Electronics",H3*5%,IF(D3="Furniture",H3*8%,0))</f>
        <v>1084.24</v>
      </c>
      <c r="P3">
        <f>_xlfn.RANK.EQ(H3,$H$2:$H$201,0)</f>
        <v>120</v>
      </c>
      <c r="Q3">
        <f>SUMIFS($H$2:$H$201,$B$2:$B$201,"&lt;="&amp;B3)</f>
        <v>2944836</v>
      </c>
      <c r="R3" t="s">
        <v>111</v>
      </c>
      <c r="S3" t="s">
        <v>119</v>
      </c>
      <c r="T3">
        <f>COUNTIF(C2:C201,"North")</f>
        <v>42</v>
      </c>
    </row>
    <row r="4" spans="1:20" x14ac:dyDescent="0.35">
      <c r="A4">
        <v>3</v>
      </c>
      <c r="B4" s="1">
        <v>45714</v>
      </c>
      <c r="C4" t="s">
        <v>17</v>
      </c>
      <c r="D4" t="s">
        <v>18</v>
      </c>
      <c r="E4" t="s">
        <v>19</v>
      </c>
      <c r="F4" t="s">
        <v>20</v>
      </c>
      <c r="G4" t="s">
        <v>13</v>
      </c>
      <c r="H4">
        <v>7987</v>
      </c>
      <c r="I4">
        <v>5653</v>
      </c>
      <c r="J4">
        <f>H4-I4</f>
        <v>2334</v>
      </c>
      <c r="K4" s="6">
        <f>J4/H4</f>
        <v>0.29222486540628523</v>
      </c>
      <c r="L4" t="str">
        <f t="array" ref="L4">_xlfn.IFS(J4&gt;15000,"Excellent",J4&gt;=5000,"Good",J4&lt;5000,"Poor")</f>
        <v>Poor</v>
      </c>
      <c r="M4">
        <f t="array" ref="M4">_xlfn.XLOOKUP(G4,' Employee_Salary'!$A$1:A8,' Employee_Salary'!$B$1:B8,FALSE)</f>
        <v>47000</v>
      </c>
      <c r="N4" s="9">
        <f>M4/H4</f>
        <v>5.884562413922624</v>
      </c>
      <c r="O4" s="9">
        <f>IF(D4="Electronics",H4*5%,IF(D4="Furniture",H4*8%,0))</f>
        <v>399.35</v>
      </c>
      <c r="P4">
        <f>_xlfn.RANK.EQ(H4,$H$2:$H$201,0)</f>
        <v>163</v>
      </c>
      <c r="Q4">
        <f>SUMIFS($H$2:$H$201,$B$2:$B$201,"&lt;="&amp;B4)</f>
        <v>3096876</v>
      </c>
      <c r="R4" t="s">
        <v>112</v>
      </c>
      <c r="S4" t="s">
        <v>120</v>
      </c>
      <c r="T4">
        <f>COUNTIF(D2:D201,"Electronics")</f>
        <v>96</v>
      </c>
    </row>
    <row r="5" spans="1:20" x14ac:dyDescent="0.35">
      <c r="A5">
        <v>4</v>
      </c>
      <c r="B5" s="1">
        <v>45710</v>
      </c>
      <c r="C5" t="s">
        <v>9</v>
      </c>
      <c r="D5" t="s">
        <v>10</v>
      </c>
      <c r="E5" t="s">
        <v>21</v>
      </c>
      <c r="F5" t="s">
        <v>22</v>
      </c>
      <c r="G5" t="s">
        <v>23</v>
      </c>
      <c r="H5">
        <v>3254</v>
      </c>
      <c r="I5">
        <v>2435</v>
      </c>
      <c r="J5">
        <f>H5-I5</f>
        <v>819</v>
      </c>
      <c r="K5" s="6">
        <f>J5/H5</f>
        <v>0.25169022741241548</v>
      </c>
      <c r="L5" t="str">
        <f t="array" ref="L5">_xlfn.IFS(J5&gt;15000,"Excellent",J5&gt;=5000,"Good",J5&lt;5000,"Poor")</f>
        <v>Poor</v>
      </c>
      <c r="M5">
        <f t="array" ref="M5">_xlfn.XLOOKUP(G5,' Employee_Salary'!$A$1:A9,' Employee_Salary'!$B$1:B9,FALSE)</f>
        <v>43000</v>
      </c>
      <c r="N5" s="9">
        <f>M5/H5</f>
        <v>13.214505224339275</v>
      </c>
      <c r="O5" s="9">
        <f>IF(D5="Electronics",H5*5%,IF(D5="Furniture",H5*8%,0))</f>
        <v>260.32</v>
      </c>
      <c r="P5">
        <f>_xlfn.RANK.EQ(H5,$H$2:$H$201,0)</f>
        <v>198</v>
      </c>
      <c r="Q5">
        <f>SUMIFS($H$2:$H$201,$B$2:$B$201,"&lt;="&amp;B5)</f>
        <v>2944836</v>
      </c>
      <c r="R5" t="s">
        <v>113</v>
      </c>
    </row>
    <row r="6" spans="1:20" x14ac:dyDescent="0.35">
      <c r="A6">
        <v>5</v>
      </c>
      <c r="B6" s="1">
        <v>45702</v>
      </c>
      <c r="C6" t="s">
        <v>17</v>
      </c>
      <c r="D6" t="s">
        <v>18</v>
      </c>
      <c r="E6" t="s">
        <v>19</v>
      </c>
      <c r="F6" t="s">
        <v>24</v>
      </c>
      <c r="G6" t="s">
        <v>23</v>
      </c>
      <c r="H6">
        <v>13732</v>
      </c>
      <c r="I6">
        <v>11076</v>
      </c>
      <c r="J6">
        <f>H6-I6</f>
        <v>2656</v>
      </c>
      <c r="K6" s="6">
        <f>J6/H6</f>
        <v>0.19341683658607631</v>
      </c>
      <c r="L6" t="str">
        <f t="array" ref="L6">_xlfn.IFS(J6&gt;15000,"Excellent",J6&gt;=5000,"Good",J6&lt;5000,"Poor")</f>
        <v>Poor</v>
      </c>
      <c r="M6">
        <f t="array" ref="M6">_xlfn.XLOOKUP(G6,' Employee_Salary'!$A$1:A10,' Employee_Salary'!$B$1:B10,FALSE)</f>
        <v>43000</v>
      </c>
      <c r="N6" s="9">
        <f>M6/H6</f>
        <v>3.1313719778619284</v>
      </c>
      <c r="O6" s="9">
        <f>IF(D6="Electronics",H6*5%,IF(D6="Furniture",H6*8%,0))</f>
        <v>686.6</v>
      </c>
      <c r="P6">
        <f>_xlfn.RANK.EQ(H6,$H$2:$H$201,0)</f>
        <v>117</v>
      </c>
      <c r="Q6">
        <f>SUMIFS($H$2:$H$201,$B$2:$B$201,"&lt;="&amp;B6)</f>
        <v>2448350</v>
      </c>
      <c r="R6" t="s">
        <v>121</v>
      </c>
      <c r="S6" t="s">
        <v>125</v>
      </c>
      <c r="T6">
        <f>MAX(H2:H201)</f>
        <v>29811</v>
      </c>
    </row>
    <row r="7" spans="1:20" x14ac:dyDescent="0.35">
      <c r="A7">
        <v>6</v>
      </c>
      <c r="B7" s="1">
        <v>45669</v>
      </c>
      <c r="C7" t="s">
        <v>17</v>
      </c>
      <c r="D7" t="s">
        <v>10</v>
      </c>
      <c r="E7" t="s">
        <v>11</v>
      </c>
      <c r="F7" t="s">
        <v>25</v>
      </c>
      <c r="G7" t="s">
        <v>13</v>
      </c>
      <c r="H7">
        <v>17328</v>
      </c>
      <c r="I7">
        <v>14130</v>
      </c>
      <c r="J7">
        <f>H7-I7</f>
        <v>3198</v>
      </c>
      <c r="K7" s="6">
        <f>J7/H7</f>
        <v>0.18455678670360109</v>
      </c>
      <c r="L7" t="str">
        <f t="array" ref="L7">_xlfn.IFS(J7&gt;15000,"Excellent",J7&gt;=5000,"Good",J7&lt;5000,"Poor")</f>
        <v>Poor</v>
      </c>
      <c r="M7">
        <f t="array" ref="M7">_xlfn.XLOOKUP(G7,' Employee_Salary'!$A$1:A11,' Employee_Salary'!$B$1:B11,FALSE)</f>
        <v>47000</v>
      </c>
      <c r="N7" s="9">
        <f>M7/H7</f>
        <v>2.7123730378578026</v>
      </c>
      <c r="O7" s="9">
        <f>IF(D7="Electronics",H7*5%,IF(D7="Furniture",H7*8%,0))</f>
        <v>1386.24</v>
      </c>
      <c r="P7">
        <f>_xlfn.RANK.EQ(H7,$H$2:$H$201,0)</f>
        <v>90</v>
      </c>
      <c r="Q7">
        <f>SUMIFS($H$2:$H$201,$B$2:$B$201,"&lt;="&amp;B7)</f>
        <v>665652</v>
      </c>
      <c r="R7" t="s">
        <v>122</v>
      </c>
      <c r="S7" t="s">
        <v>126</v>
      </c>
      <c r="T7">
        <f>MIN(H2:H201)</f>
        <v>3003</v>
      </c>
    </row>
    <row r="8" spans="1:20" x14ac:dyDescent="0.35">
      <c r="A8">
        <v>7</v>
      </c>
      <c r="B8" s="1">
        <v>45687</v>
      </c>
      <c r="C8" t="s">
        <v>14</v>
      </c>
      <c r="D8" t="s">
        <v>18</v>
      </c>
      <c r="E8" t="s">
        <v>26</v>
      </c>
      <c r="F8" t="s">
        <v>27</v>
      </c>
      <c r="G8" t="s">
        <v>28</v>
      </c>
      <c r="H8">
        <v>16650</v>
      </c>
      <c r="I8">
        <v>14634</v>
      </c>
      <c r="J8">
        <f>H8-I8</f>
        <v>2016</v>
      </c>
      <c r="K8" s="6">
        <f>J8/H8</f>
        <v>0.12108108108108108</v>
      </c>
      <c r="L8" t="str">
        <f t="array" ref="L8">_xlfn.IFS(J8&gt;15000,"Excellent",J8&gt;=5000,"Good",J8&lt;5000,"Poor")</f>
        <v>Poor</v>
      </c>
      <c r="M8">
        <f t="array" ref="M8">_xlfn.XLOOKUP(G8,' Employee_Salary'!$A$1:A12,' Employee_Salary'!$B$1:B12,FALSE)</f>
        <v>45000</v>
      </c>
      <c r="N8" s="9">
        <f>M8/H8</f>
        <v>2.7027027027027026</v>
      </c>
      <c r="O8" s="9">
        <f>IF(D8="Electronics",H8*5%,IF(D8="Furniture",H8*8%,0))</f>
        <v>832.5</v>
      </c>
      <c r="P8">
        <f>_xlfn.RANK.EQ(H8,$H$2:$H$201,0)</f>
        <v>101</v>
      </c>
      <c r="Q8">
        <f>SUMIFS($H$2:$H$201,$B$2:$B$201,"&lt;="&amp;B8)</f>
        <v>1735136</v>
      </c>
      <c r="R8" t="s">
        <v>123</v>
      </c>
      <c r="S8" t="s">
        <v>124</v>
      </c>
      <c r="T8">
        <f>AVERAGE(H2:H201)</f>
        <v>16176</v>
      </c>
    </row>
    <row r="9" spans="1:20" x14ac:dyDescent="0.35">
      <c r="A9">
        <v>8</v>
      </c>
      <c r="B9" s="1">
        <v>45661</v>
      </c>
      <c r="C9" t="s">
        <v>17</v>
      </c>
      <c r="D9" t="s">
        <v>18</v>
      </c>
      <c r="E9" t="s">
        <v>29</v>
      </c>
      <c r="F9" t="s">
        <v>30</v>
      </c>
      <c r="G9" t="s">
        <v>13</v>
      </c>
      <c r="H9">
        <v>4964</v>
      </c>
      <c r="I9">
        <v>3181</v>
      </c>
      <c r="J9">
        <f>H9-I9</f>
        <v>1783</v>
      </c>
      <c r="K9" s="6">
        <f>J9/H9</f>
        <v>0.35918614020950845</v>
      </c>
      <c r="L9" t="str">
        <f t="array" ref="L9">_xlfn.IFS(J9&gt;15000,"Excellent",J9&gt;=5000,"Good",J9&lt;5000,"Poor")</f>
        <v>Poor</v>
      </c>
      <c r="M9">
        <f t="array" ref="M9">_xlfn.XLOOKUP(G9,' Employee_Salary'!$A$1:A13,' Employee_Salary'!$B$1:B13,FALSE)</f>
        <v>47000</v>
      </c>
      <c r="N9" s="9">
        <f>M9/H9</f>
        <v>9.4681708299758256</v>
      </c>
      <c r="O9" s="9">
        <f>IF(D9="Electronics",H9*5%,IF(D9="Furniture",H9*8%,0))</f>
        <v>248.20000000000002</v>
      </c>
      <c r="P9">
        <f>_xlfn.RANK.EQ(H9,$H$2:$H$201,0)</f>
        <v>186</v>
      </c>
      <c r="Q9">
        <f>SUMIFS($H$2:$H$201,$B$2:$B$201,"&lt;="&amp;B9)</f>
        <v>165400</v>
      </c>
      <c r="R9" t="s">
        <v>114</v>
      </c>
    </row>
    <row r="10" spans="1:20" x14ac:dyDescent="0.35">
      <c r="A10">
        <v>9</v>
      </c>
      <c r="B10" s="1">
        <v>45705</v>
      </c>
      <c r="C10" t="s">
        <v>14</v>
      </c>
      <c r="D10" t="s">
        <v>10</v>
      </c>
      <c r="E10" t="s">
        <v>11</v>
      </c>
      <c r="F10" t="s">
        <v>31</v>
      </c>
      <c r="G10" t="s">
        <v>23</v>
      </c>
      <c r="H10">
        <v>19497</v>
      </c>
      <c r="I10">
        <v>16208</v>
      </c>
      <c r="J10">
        <f>H10-I10</f>
        <v>3289</v>
      </c>
      <c r="K10" s="6">
        <f>J10/H10</f>
        <v>0.16869261937734009</v>
      </c>
      <c r="L10" t="str">
        <f t="array" ref="L10">_xlfn.IFS(J10&gt;15000,"Excellent",J10&gt;=5000,"Good",J10&lt;5000,"Poor")</f>
        <v>Poor</v>
      </c>
      <c r="M10">
        <f t="array" ref="M10">_xlfn.XLOOKUP(G10,' Employee_Salary'!$A$1:A14,' Employee_Salary'!$B$1:B14,FALSE)</f>
        <v>43000</v>
      </c>
      <c r="N10" s="9">
        <f>M10/H10</f>
        <v>2.2054675078217163</v>
      </c>
      <c r="O10" s="9">
        <f>IF(D10="Electronics",H10*5%,IF(D10="Furniture",H10*8%,0))</f>
        <v>1559.76</v>
      </c>
      <c r="P10">
        <f>_xlfn.RANK.EQ(H10,$H$2:$H$201,0)</f>
        <v>70</v>
      </c>
      <c r="Q10">
        <f>SUMIFS($H$2:$H$201,$B$2:$B$201,"&lt;="&amp;B10)</f>
        <v>2691046</v>
      </c>
      <c r="R10" t="s">
        <v>115</v>
      </c>
      <c r="S10" t="s">
        <v>128</v>
      </c>
      <c r="T10" t="str">
        <f>IF(J2&gt;15000,"Excellent", IF(J2&gt;=5000,"Good","Poor"))</f>
        <v>Poor</v>
      </c>
    </row>
    <row r="11" spans="1:20" x14ac:dyDescent="0.35">
      <c r="A11">
        <v>10</v>
      </c>
      <c r="B11" s="1">
        <v>45693</v>
      </c>
      <c r="C11" t="s">
        <v>17</v>
      </c>
      <c r="D11" t="s">
        <v>18</v>
      </c>
      <c r="E11" t="s">
        <v>32</v>
      </c>
      <c r="F11" t="s">
        <v>25</v>
      </c>
      <c r="G11" t="s">
        <v>33</v>
      </c>
      <c r="H11">
        <v>29094</v>
      </c>
      <c r="I11">
        <v>19174</v>
      </c>
      <c r="J11">
        <f>H11-I11</f>
        <v>9920</v>
      </c>
      <c r="K11" s="6">
        <f>J11/H11</f>
        <v>0.34096377259916133</v>
      </c>
      <c r="L11" t="str">
        <f t="array" ref="L11">_xlfn.IFS(J11&gt;15000,"Excellent",J11&gt;=5000,"Good",J11&lt;5000,"Poor")</f>
        <v>Good</v>
      </c>
      <c r="M11">
        <f t="array" ref="M11">_xlfn.XLOOKUP(G11,' Employee_Salary'!$A$1:A15,' Employee_Salary'!$B$1:B15,FALSE)</f>
        <v>42000</v>
      </c>
      <c r="N11" s="9">
        <f>M11/H11</f>
        <v>1.4435966178593524</v>
      </c>
      <c r="O11" s="9">
        <f>IF(D11="Electronics",H11*5%,IF(D11="Furniture",H11*8%,0))</f>
        <v>1454.7</v>
      </c>
      <c r="P11">
        <f>_xlfn.RANK.EQ(H11,$H$2:$H$201,0)</f>
        <v>3</v>
      </c>
      <c r="Q11">
        <f>SUMIFS($H$2:$H$201,$B$2:$B$201,"&lt;="&amp;B11)</f>
        <v>1945841</v>
      </c>
      <c r="R11" t="s">
        <v>116</v>
      </c>
    </row>
    <row r="12" spans="1:20" x14ac:dyDescent="0.35">
      <c r="A12">
        <v>11</v>
      </c>
      <c r="B12" s="1">
        <v>45666</v>
      </c>
      <c r="C12" t="s">
        <v>9</v>
      </c>
      <c r="D12" t="s">
        <v>18</v>
      </c>
      <c r="E12" t="s">
        <v>19</v>
      </c>
      <c r="F12" t="s">
        <v>34</v>
      </c>
      <c r="G12" t="s">
        <v>35</v>
      </c>
      <c r="H12">
        <v>27904</v>
      </c>
      <c r="I12">
        <v>24463</v>
      </c>
      <c r="J12">
        <f>H12-I12</f>
        <v>3441</v>
      </c>
      <c r="K12" s="6">
        <f>J12/H12</f>
        <v>0.12331565366972477</v>
      </c>
      <c r="L12" t="str">
        <f t="array" ref="L12">_xlfn.IFS(J12&gt;15000,"Excellent",J12&gt;=5000,"Good",J12&lt;5000,"Poor")</f>
        <v>Poor</v>
      </c>
      <c r="M12">
        <f t="array" ref="M12">_xlfn.XLOOKUP(G12,' Employee_Salary'!$A$1:A16,' Employee_Salary'!$B$1:B16,FALSE)</f>
        <v>40000</v>
      </c>
      <c r="N12" s="9">
        <f>M12/H12</f>
        <v>1.4334862385321101</v>
      </c>
      <c r="O12" s="9">
        <f>IF(D12="Electronics",H12*5%,IF(D12="Furniture",H12*8%,0))</f>
        <v>1395.2</v>
      </c>
      <c r="P12">
        <f>_xlfn.RANK.EQ(H12,$H$2:$H$201,0)</f>
        <v>14</v>
      </c>
      <c r="Q12">
        <f>SUMIFS($H$2:$H$201,$B$2:$B$201,"&lt;="&amp;B12)</f>
        <v>480218</v>
      </c>
      <c r="R12" t="s">
        <v>117</v>
      </c>
    </row>
    <row r="13" spans="1:20" x14ac:dyDescent="0.35">
      <c r="A13">
        <v>12</v>
      </c>
      <c r="B13" s="1">
        <v>45680</v>
      </c>
      <c r="C13" t="s">
        <v>14</v>
      </c>
      <c r="D13" t="s">
        <v>18</v>
      </c>
      <c r="E13" t="s">
        <v>29</v>
      </c>
      <c r="F13" t="s">
        <v>36</v>
      </c>
      <c r="G13" t="s">
        <v>28</v>
      </c>
      <c r="H13">
        <v>9233</v>
      </c>
      <c r="I13">
        <v>6766</v>
      </c>
      <c r="J13">
        <f>H13-I13</f>
        <v>2467</v>
      </c>
      <c r="K13" s="6">
        <f>J13/H13</f>
        <v>0.26719376150763563</v>
      </c>
      <c r="L13" t="str">
        <f t="array" ref="L13">_xlfn.IFS(J13&gt;15000,"Excellent",J13&gt;=5000,"Good",J13&lt;5000,"Poor")</f>
        <v>Poor</v>
      </c>
      <c r="M13">
        <f t="array" ref="M13">_xlfn.XLOOKUP(G13,' Employee_Salary'!$A$1:A17,' Employee_Salary'!$B$1:B17,FALSE)</f>
        <v>45000</v>
      </c>
      <c r="N13" s="9">
        <f>M13/H13</f>
        <v>4.8738221596447522</v>
      </c>
      <c r="O13" s="9">
        <f>IF(D13="Electronics",H13*5%,IF(D13="Furniture",H13*8%,0))</f>
        <v>461.65000000000003</v>
      </c>
      <c r="P13">
        <f>_xlfn.RANK.EQ(H13,$H$2:$H$201,0)</f>
        <v>155</v>
      </c>
      <c r="Q13">
        <f>SUMIFS($H$2:$H$201,$B$2:$B$201,"&lt;="&amp;B13)</f>
        <v>1349916</v>
      </c>
    </row>
    <row r="14" spans="1:20" x14ac:dyDescent="0.35">
      <c r="A14">
        <v>13</v>
      </c>
      <c r="B14" s="1">
        <v>45713</v>
      </c>
      <c r="C14" t="s">
        <v>37</v>
      </c>
      <c r="D14" t="s">
        <v>10</v>
      </c>
      <c r="E14" t="s">
        <v>15</v>
      </c>
      <c r="F14" t="s">
        <v>38</v>
      </c>
      <c r="G14" t="s">
        <v>13</v>
      </c>
      <c r="H14">
        <v>27329</v>
      </c>
      <c r="I14">
        <v>18038</v>
      </c>
      <c r="J14">
        <f>H14-I14</f>
        <v>9291</v>
      </c>
      <c r="K14" s="6">
        <f>J14/H14</f>
        <v>0.33996853159647261</v>
      </c>
      <c r="L14" t="str">
        <f t="array" ref="L14">_xlfn.IFS(J14&gt;15000,"Excellent",J14&gt;=5000,"Good",J14&lt;5000,"Poor")</f>
        <v>Good</v>
      </c>
      <c r="M14">
        <f t="array" ref="M14">_xlfn.XLOOKUP(G14,' Employee_Salary'!$A$1:A18,' Employee_Salary'!$B$1:B18,FALSE)</f>
        <v>47000</v>
      </c>
      <c r="N14" s="9">
        <f>M14/H14</f>
        <v>1.7197848439386731</v>
      </c>
      <c r="O14" s="9">
        <f>IF(D14="Electronics",H14*5%,IF(D14="Furniture",H14*8%,0))</f>
        <v>2186.3200000000002</v>
      </c>
      <c r="P14">
        <f>_xlfn.RANK.EQ(H14,$H$2:$H$201,0)</f>
        <v>19</v>
      </c>
      <c r="Q14">
        <f>SUMIFS($H$2:$H$201,$B$2:$B$201,"&lt;="&amp;B14)</f>
        <v>3053221</v>
      </c>
    </row>
    <row r="15" spans="1:20" x14ac:dyDescent="0.35">
      <c r="A15">
        <v>14</v>
      </c>
      <c r="B15" s="1">
        <v>45700</v>
      </c>
      <c r="C15" t="s">
        <v>9</v>
      </c>
      <c r="D15" t="s">
        <v>10</v>
      </c>
      <c r="E15" t="s">
        <v>15</v>
      </c>
      <c r="F15" t="s">
        <v>39</v>
      </c>
      <c r="G15" t="s">
        <v>33</v>
      </c>
      <c r="H15">
        <v>6994</v>
      </c>
      <c r="I15">
        <v>5062</v>
      </c>
      <c r="J15">
        <f>H15-I15</f>
        <v>1932</v>
      </c>
      <c r="K15" s="6">
        <f>J15/H15</f>
        <v>0.27623677437803834</v>
      </c>
      <c r="L15" t="str">
        <f t="array" ref="L15">_xlfn.IFS(J15&gt;15000,"Excellent",J15&gt;=5000,"Good",J15&lt;5000,"Poor")</f>
        <v>Poor</v>
      </c>
      <c r="M15">
        <f t="array" ref="M15">_xlfn.XLOOKUP(G15,' Employee_Salary'!$A$1:A19,' Employee_Salary'!$B$1:B19,FALSE)</f>
        <v>42000</v>
      </c>
      <c r="N15" s="9">
        <f>M15/H15</f>
        <v>6.0051472690877894</v>
      </c>
      <c r="O15" s="9">
        <f>IF(D15="Electronics",H15*5%,IF(D15="Furniture",H15*8%,0))</f>
        <v>559.52</v>
      </c>
      <c r="P15">
        <f>_xlfn.RANK.EQ(H15,$H$2:$H$201,0)</f>
        <v>171</v>
      </c>
      <c r="Q15">
        <f>SUMIFS($H$2:$H$201,$B$2:$B$201,"&lt;="&amp;B15)</f>
        <v>2334388</v>
      </c>
      <c r="R15" s="3" t="s">
        <v>130</v>
      </c>
    </row>
    <row r="16" spans="1:20" ht="43.5" x14ac:dyDescent="0.35">
      <c r="A16">
        <v>15</v>
      </c>
      <c r="B16" s="1">
        <v>45684</v>
      </c>
      <c r="C16" t="s">
        <v>37</v>
      </c>
      <c r="D16" t="s">
        <v>10</v>
      </c>
      <c r="E16" t="s">
        <v>11</v>
      </c>
      <c r="F16" t="s">
        <v>40</v>
      </c>
      <c r="G16" t="s">
        <v>13</v>
      </c>
      <c r="H16">
        <v>6822</v>
      </c>
      <c r="I16">
        <v>5407</v>
      </c>
      <c r="J16">
        <f>H16-I16</f>
        <v>1415</v>
      </c>
      <c r="K16" s="6">
        <f>J16/H16</f>
        <v>0.20741717971269422</v>
      </c>
      <c r="L16" t="str">
        <f t="array" ref="L16">_xlfn.IFS(J16&gt;15000,"Excellent",J16&gt;=5000,"Good",J16&lt;5000,"Poor")</f>
        <v>Poor</v>
      </c>
      <c r="M16">
        <f t="array" ref="M16">_xlfn.XLOOKUP(G16,' Employee_Salary'!$A$1:A20,' Employee_Salary'!$B$1:B20,FALSE)</f>
        <v>47000</v>
      </c>
      <c r="N16" s="9">
        <f>M16/H16</f>
        <v>6.8894752272060975</v>
      </c>
      <c r="O16" s="9">
        <f>IF(D16="Electronics",H16*5%,IF(D16="Furniture",H16*8%,0))</f>
        <v>545.76</v>
      </c>
      <c r="P16">
        <f>_xlfn.RANK.EQ(H16,$H$2:$H$201,0)</f>
        <v>172</v>
      </c>
      <c r="Q16">
        <f>SUMIFS($H$2:$H$201,$B$2:$B$201,"&lt;="&amp;B16)</f>
        <v>1596018</v>
      </c>
      <c r="R16" t="s">
        <v>131</v>
      </c>
      <c r="S16" s="8" t="s">
        <v>137</v>
      </c>
      <c r="T16">
        <f>VLOOKUP(G2, ' Employee_Salary'!A1:$B$6,2,FALSE)</f>
        <v>47000</v>
      </c>
    </row>
    <row r="17" spans="1:20" x14ac:dyDescent="0.35">
      <c r="A17">
        <v>16</v>
      </c>
      <c r="B17" s="1">
        <v>45670</v>
      </c>
      <c r="C17" t="s">
        <v>37</v>
      </c>
      <c r="D17" t="s">
        <v>18</v>
      </c>
      <c r="E17" t="s">
        <v>29</v>
      </c>
      <c r="F17" t="s">
        <v>34</v>
      </c>
      <c r="G17" t="s">
        <v>23</v>
      </c>
      <c r="H17">
        <v>14681</v>
      </c>
      <c r="I17">
        <v>11778</v>
      </c>
      <c r="J17">
        <f>H17-I17</f>
        <v>2903</v>
      </c>
      <c r="K17" s="6">
        <f>J17/H17</f>
        <v>0.19773857366664396</v>
      </c>
      <c r="L17" t="str">
        <f t="array" ref="L17">_xlfn.IFS(J17&gt;15000,"Excellent",J17&gt;=5000,"Good",J17&lt;5000,"Poor")</f>
        <v>Poor</v>
      </c>
      <c r="M17">
        <f t="array" ref="M17">_xlfn.XLOOKUP(G17,' Employee_Salary'!$A$1:A21,' Employee_Salary'!$B$1:B21,FALSE)</f>
        <v>43000</v>
      </c>
      <c r="N17" s="9">
        <f>M17/H17</f>
        <v>2.928955793202098</v>
      </c>
      <c r="O17" s="9">
        <f>IF(D17="Electronics",H17*5%,IF(D17="Furniture",H17*8%,0))</f>
        <v>734.05000000000007</v>
      </c>
      <c r="P17">
        <f>_xlfn.RANK.EQ(H17,$H$2:$H$201,0)</f>
        <v>111</v>
      </c>
      <c r="Q17">
        <f>SUMIFS($H$2:$H$201,$B$2:$B$201,"&lt;="&amp;B17)</f>
        <v>757644</v>
      </c>
      <c r="R17" t="s">
        <v>132</v>
      </c>
      <c r="S17" t="s">
        <v>139</v>
      </c>
      <c r="T17">
        <f>M2/H2</f>
        <v>8.0881087592496996</v>
      </c>
    </row>
    <row r="18" spans="1:20" x14ac:dyDescent="0.35">
      <c r="A18">
        <v>17</v>
      </c>
      <c r="B18" s="1">
        <v>45671</v>
      </c>
      <c r="C18" t="s">
        <v>9</v>
      </c>
      <c r="D18" t="s">
        <v>18</v>
      </c>
      <c r="E18" t="s">
        <v>26</v>
      </c>
      <c r="F18" t="s">
        <v>41</v>
      </c>
      <c r="G18" t="s">
        <v>28</v>
      </c>
      <c r="H18">
        <v>21800</v>
      </c>
      <c r="I18">
        <v>16672</v>
      </c>
      <c r="J18">
        <f>H18-I18</f>
        <v>5128</v>
      </c>
      <c r="K18" s="6">
        <f>J18/H18</f>
        <v>0.23522935779816515</v>
      </c>
      <c r="L18" t="str">
        <f t="array" ref="L18">_xlfn.IFS(J18&gt;15000,"Excellent",J18&gt;=5000,"Good",J18&lt;5000,"Poor")</f>
        <v>Good</v>
      </c>
      <c r="M18">
        <f t="array" ref="M18">_xlfn.XLOOKUP(G18,' Employee_Salary'!$A$1:A22,' Employee_Salary'!$B$1:B22,FALSE)</f>
        <v>45000</v>
      </c>
      <c r="N18" s="9">
        <f>M18/H18</f>
        <v>2.0642201834862384</v>
      </c>
      <c r="O18" s="9">
        <f>IF(D18="Electronics",H18*5%,IF(D18="Furniture",H18*8%,0))</f>
        <v>1090</v>
      </c>
      <c r="P18">
        <f>_xlfn.RANK.EQ(H18,$H$2:$H$201,0)</f>
        <v>55</v>
      </c>
      <c r="Q18">
        <f>SUMIFS($H$2:$H$201,$B$2:$B$201,"&lt;="&amp;B18)</f>
        <v>841403</v>
      </c>
      <c r="R18" t="s">
        <v>133</v>
      </c>
    </row>
    <row r="19" spans="1:20" x14ac:dyDescent="0.35">
      <c r="A19">
        <v>18</v>
      </c>
      <c r="B19" s="1">
        <v>45706</v>
      </c>
      <c r="C19" t="s">
        <v>37</v>
      </c>
      <c r="D19" t="s">
        <v>18</v>
      </c>
      <c r="E19" t="s">
        <v>29</v>
      </c>
      <c r="F19" t="s">
        <v>36</v>
      </c>
      <c r="G19" t="s">
        <v>35</v>
      </c>
      <c r="H19">
        <v>27543</v>
      </c>
      <c r="I19">
        <v>21241</v>
      </c>
      <c r="J19">
        <f>H19-I19</f>
        <v>6302</v>
      </c>
      <c r="K19" s="6">
        <f>J19/H19</f>
        <v>0.22880586718948553</v>
      </c>
      <c r="L19" t="str">
        <f t="array" ref="L19">_xlfn.IFS(J19&gt;15000,"Excellent",J19&gt;=5000,"Good",J19&lt;5000,"Poor")</f>
        <v>Good</v>
      </c>
      <c r="M19">
        <f t="array" ref="M19">_xlfn.XLOOKUP(G19,' Employee_Salary'!$A$1:A23,' Employee_Salary'!$B$1:B23,FALSE)</f>
        <v>40000</v>
      </c>
      <c r="N19" s="9">
        <f>M19/H19</f>
        <v>1.4522746251316123</v>
      </c>
      <c r="O19" s="9">
        <f>IF(D19="Electronics",H19*5%,IF(D19="Furniture",H19*8%,0))</f>
        <v>1377.15</v>
      </c>
      <c r="P19">
        <f>_xlfn.RANK.EQ(H19,$H$2:$H$201,0)</f>
        <v>17</v>
      </c>
      <c r="Q19">
        <f>SUMIFS($H$2:$H$201,$B$2:$B$201,"&lt;="&amp;B19)</f>
        <v>2761759</v>
      </c>
      <c r="R19" t="s">
        <v>134</v>
      </c>
    </row>
    <row r="20" spans="1:20" x14ac:dyDescent="0.35">
      <c r="A20">
        <v>19</v>
      </c>
      <c r="B20" s="1">
        <v>45709</v>
      </c>
      <c r="C20" t="s">
        <v>17</v>
      </c>
      <c r="D20" t="s">
        <v>10</v>
      </c>
      <c r="E20" t="s">
        <v>42</v>
      </c>
      <c r="F20" t="s">
        <v>20</v>
      </c>
      <c r="G20" t="s">
        <v>28</v>
      </c>
      <c r="H20">
        <v>8177</v>
      </c>
      <c r="I20">
        <v>6277</v>
      </c>
      <c r="J20">
        <f>H20-I20</f>
        <v>1900</v>
      </c>
      <c r="K20" s="6">
        <f>J20/H20</f>
        <v>0.23235905588846764</v>
      </c>
      <c r="L20" t="str">
        <f t="array" ref="L20">_xlfn.IFS(J20&gt;15000,"Excellent",J20&gt;=5000,"Good",J20&lt;5000,"Poor")</f>
        <v>Poor</v>
      </c>
      <c r="M20">
        <f t="array" ref="M20">_xlfn.XLOOKUP(G20,' Employee_Salary'!$A$1:A24,' Employee_Salary'!$B$1:B24,FALSE)</f>
        <v>45000</v>
      </c>
      <c r="N20" s="9">
        <f>M20/H20</f>
        <v>5.5032407973584441</v>
      </c>
      <c r="O20" s="9">
        <f>IF(D20="Electronics",H20*5%,IF(D20="Furniture",H20*8%,0))</f>
        <v>654.16</v>
      </c>
      <c r="P20">
        <f>_xlfn.RANK.EQ(H20,$H$2:$H$201,0)</f>
        <v>162</v>
      </c>
      <c r="Q20">
        <f>SUMIFS($H$2:$H$201,$B$2:$B$201,"&lt;="&amp;B20)</f>
        <v>2860992</v>
      </c>
      <c r="R20" t="s">
        <v>135</v>
      </c>
      <c r="S20" t="s">
        <v>141</v>
      </c>
      <c r="T20">
        <f>IF(D2="Electronics", H2*5%, IF(D2="Furniture", H2*8%, 0))</f>
        <v>464.88</v>
      </c>
    </row>
    <row r="21" spans="1:20" x14ac:dyDescent="0.35">
      <c r="A21">
        <v>20</v>
      </c>
      <c r="B21" s="1">
        <v>45688</v>
      </c>
      <c r="C21" t="s">
        <v>14</v>
      </c>
      <c r="D21" t="s">
        <v>18</v>
      </c>
      <c r="E21" t="s">
        <v>32</v>
      </c>
      <c r="F21" t="s">
        <v>43</v>
      </c>
      <c r="G21" t="s">
        <v>33</v>
      </c>
      <c r="H21">
        <v>17261</v>
      </c>
      <c r="I21">
        <v>14516</v>
      </c>
      <c r="J21">
        <f>H21-I21</f>
        <v>2745</v>
      </c>
      <c r="K21" s="6">
        <f>J21/H21</f>
        <v>0.15902902496958463</v>
      </c>
      <c r="L21" t="str">
        <f t="array" ref="L21">_xlfn.IFS(J21&gt;15000,"Excellent",J21&gt;=5000,"Good",J21&lt;5000,"Poor")</f>
        <v>Poor</v>
      </c>
      <c r="M21">
        <f t="array" ref="M21">_xlfn.XLOOKUP(G21,' Employee_Salary'!$A$1:A25,' Employee_Salary'!$B$1:B25,FALSE)</f>
        <v>42000</v>
      </c>
      <c r="N21" s="9">
        <f>M21/H21</f>
        <v>2.4332309831411854</v>
      </c>
      <c r="O21" s="9">
        <f>IF(D21="Electronics",H21*5%,IF(D21="Furniture",H21*8%,0))</f>
        <v>863.05000000000007</v>
      </c>
      <c r="P21">
        <f>_xlfn.RANK.EQ(H21,$H$2:$H$201,0)</f>
        <v>92</v>
      </c>
      <c r="Q21">
        <f>SUMIFS($H$2:$H$201,$B$2:$B$201,"&lt;="&amp;B21)</f>
        <v>1789203</v>
      </c>
      <c r="R21" t="s">
        <v>136</v>
      </c>
      <c r="S21" t="s">
        <v>143</v>
      </c>
      <c r="T21">
        <f>_xlfn.RANK.EQ(H2,$H$2:$H$201,0)</f>
        <v>179</v>
      </c>
    </row>
    <row r="22" spans="1:20" x14ac:dyDescent="0.35">
      <c r="A22">
        <v>21</v>
      </c>
      <c r="B22" s="1">
        <v>45680</v>
      </c>
      <c r="C22" t="s">
        <v>37</v>
      </c>
      <c r="D22" t="s">
        <v>18</v>
      </c>
      <c r="E22" t="s">
        <v>26</v>
      </c>
      <c r="F22" t="s">
        <v>44</v>
      </c>
      <c r="G22" t="s">
        <v>28</v>
      </c>
      <c r="H22">
        <v>13080</v>
      </c>
      <c r="I22">
        <v>11394</v>
      </c>
      <c r="J22">
        <f>H22-I22</f>
        <v>1686</v>
      </c>
      <c r="K22" s="6">
        <f>J22/H22</f>
        <v>0.12889908256880733</v>
      </c>
      <c r="L22" t="str">
        <f t="array" ref="L22">_xlfn.IFS(J22&gt;15000,"Excellent",J22&gt;=5000,"Good",J22&lt;5000,"Poor")</f>
        <v>Poor</v>
      </c>
      <c r="M22">
        <f t="array" ref="M22">_xlfn.XLOOKUP(G22,' Employee_Salary'!$A$1:A26,' Employee_Salary'!$B$1:B26,FALSE)</f>
        <v>45000</v>
      </c>
      <c r="N22" s="9">
        <f>M22/H22</f>
        <v>3.4403669724770642</v>
      </c>
      <c r="O22" s="9">
        <f>IF(D22="Electronics",H22*5%,IF(D22="Furniture",H22*8%,0))</f>
        <v>654</v>
      </c>
      <c r="P22">
        <f>_xlfn.RANK.EQ(H22,$H$2:$H$201,0)</f>
        <v>123</v>
      </c>
      <c r="Q22">
        <f>SUMIFS($H$2:$H$201,$B$2:$B$201,"&lt;="&amp;B22)</f>
        <v>1349916</v>
      </c>
      <c r="S22" s="10" t="s">
        <v>145</v>
      </c>
    </row>
    <row r="23" spans="1:20" x14ac:dyDescent="0.35">
      <c r="A23">
        <v>22</v>
      </c>
      <c r="B23" s="1">
        <v>45683</v>
      </c>
      <c r="C23" t="s">
        <v>9</v>
      </c>
      <c r="D23" t="s">
        <v>10</v>
      </c>
      <c r="E23" t="s">
        <v>15</v>
      </c>
      <c r="F23" t="s">
        <v>45</v>
      </c>
      <c r="G23" t="s">
        <v>33</v>
      </c>
      <c r="H23">
        <v>12676</v>
      </c>
      <c r="I23">
        <v>8182</v>
      </c>
      <c r="J23">
        <f>H23-I23</f>
        <v>4494</v>
      </c>
      <c r="K23" s="6">
        <f>J23/H23</f>
        <v>0.35452824234774377</v>
      </c>
      <c r="L23" t="str">
        <f t="array" ref="L23">_xlfn.IFS(J23&gt;15000,"Excellent",J23&gt;=5000,"Good",J23&lt;5000,"Poor")</f>
        <v>Poor</v>
      </c>
      <c r="M23">
        <f t="array" ref="M23">_xlfn.XLOOKUP(G23,' Employee_Salary'!$A$1:A27,' Employee_Salary'!$B$1:B27,FALSE)</f>
        <v>42000</v>
      </c>
      <c r="N23" s="9">
        <f>M23/H23</f>
        <v>3.3133480593247082</v>
      </c>
      <c r="O23" s="9">
        <f>IF(D23="Electronics",H23*5%,IF(D23="Furniture",H23*8%,0))</f>
        <v>1014.08</v>
      </c>
      <c r="P23">
        <f>_xlfn.RANK.EQ(H23,$H$2:$H$201,0)</f>
        <v>130</v>
      </c>
      <c r="Q23">
        <f>SUMIFS($H$2:$H$201,$B$2:$B$201,"&lt;="&amp;B23)</f>
        <v>1589196</v>
      </c>
    </row>
    <row r="24" spans="1:20" x14ac:dyDescent="0.35">
      <c r="A24">
        <v>23</v>
      </c>
      <c r="B24" s="1">
        <v>45679</v>
      </c>
      <c r="C24" t="s">
        <v>9</v>
      </c>
      <c r="D24" t="s">
        <v>10</v>
      </c>
      <c r="E24" t="s">
        <v>21</v>
      </c>
      <c r="F24" t="s">
        <v>45</v>
      </c>
      <c r="G24" t="s">
        <v>13</v>
      </c>
      <c r="H24">
        <v>12995</v>
      </c>
      <c r="I24">
        <v>10838</v>
      </c>
      <c r="J24">
        <f>H24-I24</f>
        <v>2157</v>
      </c>
      <c r="K24" s="6">
        <f>J24/H24</f>
        <v>0.16598691804540208</v>
      </c>
      <c r="L24" t="str">
        <f t="array" ref="L24">_xlfn.IFS(J24&gt;15000,"Excellent",J24&gt;=5000,"Good",J24&lt;5000,"Poor")</f>
        <v>Poor</v>
      </c>
      <c r="M24">
        <f t="array" ref="M24">_xlfn.XLOOKUP(G24,' Employee_Salary'!$A$1:A28,' Employee_Salary'!$B$1:B28,FALSE)</f>
        <v>47000</v>
      </c>
      <c r="N24" s="9">
        <f>M24/H24</f>
        <v>3.6167756829549829</v>
      </c>
      <c r="O24" s="9">
        <f>IF(D24="Electronics",H24*5%,IF(D24="Furniture",H24*8%,0))</f>
        <v>1039.5999999999999</v>
      </c>
      <c r="P24">
        <f>_xlfn.RANK.EQ(H24,$H$2:$H$201,0)</f>
        <v>124</v>
      </c>
      <c r="Q24">
        <f>SUMIFS($H$2:$H$201,$B$2:$B$201,"&lt;="&amp;B24)</f>
        <v>1247618</v>
      </c>
    </row>
    <row r="25" spans="1:20" x14ac:dyDescent="0.35">
      <c r="A25">
        <v>24</v>
      </c>
      <c r="B25" s="1">
        <v>45714</v>
      </c>
      <c r="C25" t="s">
        <v>17</v>
      </c>
      <c r="D25" t="s">
        <v>10</v>
      </c>
      <c r="E25" t="s">
        <v>15</v>
      </c>
      <c r="F25" t="s">
        <v>46</v>
      </c>
      <c r="G25" t="s">
        <v>33</v>
      </c>
      <c r="H25">
        <v>26402</v>
      </c>
      <c r="I25">
        <v>22809</v>
      </c>
      <c r="J25">
        <f>H25-I25</f>
        <v>3593</v>
      </c>
      <c r="K25" s="6">
        <f>J25/H25</f>
        <v>0.13608817513824711</v>
      </c>
      <c r="L25" t="str">
        <f t="array" ref="L25">_xlfn.IFS(J25&gt;15000,"Excellent",J25&gt;=5000,"Good",J25&lt;5000,"Poor")</f>
        <v>Poor</v>
      </c>
      <c r="M25">
        <f t="array" ref="M25">_xlfn.XLOOKUP(G25,' Employee_Salary'!$A$1:A29,' Employee_Salary'!$B$1:B29,FALSE)</f>
        <v>42000</v>
      </c>
      <c r="N25" s="9">
        <f>M25/H25</f>
        <v>1.590788576622983</v>
      </c>
      <c r="O25" s="9">
        <f>IF(D25="Electronics",H25*5%,IF(D25="Furniture",H25*8%,0))</f>
        <v>2112.16</v>
      </c>
      <c r="P25">
        <f>_xlfn.RANK.EQ(H25,$H$2:$H$201,0)</f>
        <v>27</v>
      </c>
      <c r="Q25">
        <f>SUMIFS($H$2:$H$201,$B$2:$B$201,"&lt;="&amp;B25)</f>
        <v>3096876</v>
      </c>
      <c r="R25" s="3" t="s">
        <v>146</v>
      </c>
    </row>
    <row r="26" spans="1:20" x14ac:dyDescent="0.35">
      <c r="A26">
        <v>25</v>
      </c>
      <c r="B26" s="1">
        <v>45677</v>
      </c>
      <c r="C26" t="s">
        <v>17</v>
      </c>
      <c r="D26" t="s">
        <v>18</v>
      </c>
      <c r="E26" t="s">
        <v>29</v>
      </c>
      <c r="F26" t="s">
        <v>47</v>
      </c>
      <c r="G26" t="s">
        <v>33</v>
      </c>
      <c r="H26">
        <v>20499</v>
      </c>
      <c r="I26">
        <v>13107</v>
      </c>
      <c r="J26">
        <f>H26-I26</f>
        <v>7392</v>
      </c>
      <c r="K26" s="6">
        <f>J26/H26</f>
        <v>0.36060295624176791</v>
      </c>
      <c r="L26" t="str">
        <f t="array" ref="L26">_xlfn.IFS(J26&gt;15000,"Excellent",J26&gt;=5000,"Good",J26&lt;5000,"Poor")</f>
        <v>Good</v>
      </c>
      <c r="M26">
        <f t="array" ref="M26">_xlfn.XLOOKUP(G26,' Employee_Salary'!$A$1:A30,' Employee_Salary'!$B$1:B30,FALSE)</f>
        <v>42000</v>
      </c>
      <c r="N26" s="9">
        <f>M26/H26</f>
        <v>2.0488804331918629</v>
      </c>
      <c r="O26" s="9">
        <f>IF(D26="Electronics",H26*5%,IF(D26="Furniture",H26*8%,0))</f>
        <v>1024.95</v>
      </c>
      <c r="P26">
        <f>_xlfn.RANK.EQ(H26,$H$2:$H$201,0)</f>
        <v>63</v>
      </c>
      <c r="Q26">
        <f>SUMIFS($H$2:$H$201,$B$2:$B$201,"&lt;="&amp;B26)</f>
        <v>1137341</v>
      </c>
      <c r="R26" t="s">
        <v>147</v>
      </c>
      <c r="S26" t="s">
        <v>156</v>
      </c>
      <c r="T26">
        <f>SUMIFS($H$2:$H$201,$B$2:$B$201,"&lt;="&amp;B2)</f>
        <v>118866</v>
      </c>
    </row>
    <row r="27" spans="1:20" x14ac:dyDescent="0.35">
      <c r="A27">
        <v>26</v>
      </c>
      <c r="B27" s="1">
        <v>45682</v>
      </c>
      <c r="C27" t="s">
        <v>37</v>
      </c>
      <c r="D27" t="s">
        <v>10</v>
      </c>
      <c r="E27" t="s">
        <v>11</v>
      </c>
      <c r="F27" t="s">
        <v>48</v>
      </c>
      <c r="G27" t="s">
        <v>35</v>
      </c>
      <c r="H27">
        <v>22507</v>
      </c>
      <c r="I27">
        <v>15607</v>
      </c>
      <c r="J27">
        <f>H27-I27</f>
        <v>6900</v>
      </c>
      <c r="K27" s="6">
        <f>J27/H27</f>
        <v>0.30657128893233215</v>
      </c>
      <c r="L27" t="str">
        <f t="array" ref="L27">_xlfn.IFS(J27&gt;15000,"Excellent",J27&gt;=5000,"Good",J27&lt;5000,"Poor")</f>
        <v>Good</v>
      </c>
      <c r="M27">
        <f t="array" ref="M27">_xlfn.XLOOKUP(G27,' Employee_Salary'!$A$1:A31,' Employee_Salary'!$B$1:B31,FALSE)</f>
        <v>40000</v>
      </c>
      <c r="N27" s="9">
        <f>M27/H27</f>
        <v>1.7772248633758387</v>
      </c>
      <c r="O27" s="9">
        <f>IF(D27="Electronics",H27*5%,IF(D27="Furniture",H27*8%,0))</f>
        <v>1800.56</v>
      </c>
      <c r="P27">
        <f>_xlfn.RANK.EQ(H27,$H$2:$H$201,0)</f>
        <v>50</v>
      </c>
      <c r="Q27">
        <f>SUMIFS($H$2:$H$201,$B$2:$B$201,"&lt;="&amp;B27)</f>
        <v>1502635</v>
      </c>
      <c r="R27" t="s">
        <v>148</v>
      </c>
      <c r="S27" t="s">
        <v>157</v>
      </c>
      <c r="T27">
        <f>COUNTA(_xlfn.UNIQUE(F2:F201))</f>
        <v>50</v>
      </c>
    </row>
    <row r="28" spans="1:20" ht="29" x14ac:dyDescent="0.35">
      <c r="A28">
        <v>27</v>
      </c>
      <c r="B28" s="1">
        <v>45702</v>
      </c>
      <c r="C28" t="s">
        <v>37</v>
      </c>
      <c r="D28" t="s">
        <v>10</v>
      </c>
      <c r="E28" t="s">
        <v>21</v>
      </c>
      <c r="F28" t="s">
        <v>46</v>
      </c>
      <c r="G28" t="s">
        <v>35</v>
      </c>
      <c r="H28">
        <v>4786</v>
      </c>
      <c r="I28">
        <v>3412</v>
      </c>
      <c r="J28">
        <f>H28-I28</f>
        <v>1374</v>
      </c>
      <c r="K28" s="6">
        <f>J28/H28</f>
        <v>0.28708733806936898</v>
      </c>
      <c r="L28" t="str">
        <f t="array" ref="L28">_xlfn.IFS(J28&gt;15000,"Excellent",J28&gt;=5000,"Good",J28&lt;5000,"Poor")</f>
        <v>Poor</v>
      </c>
      <c r="M28">
        <f t="array" ref="M28">_xlfn.XLOOKUP(G28,' Employee_Salary'!$A$1:A32,' Employee_Salary'!$B$1:B32,FALSE)</f>
        <v>40000</v>
      </c>
      <c r="N28" s="9">
        <f>M28/H28</f>
        <v>8.3577099874634353</v>
      </c>
      <c r="O28" s="9">
        <f>IF(D28="Electronics",H28*5%,IF(D28="Furniture",H28*8%,0))</f>
        <v>382.88</v>
      </c>
      <c r="P28">
        <f>_xlfn.RANK.EQ(H28,$H$2:$H$201,0)</f>
        <v>189</v>
      </c>
      <c r="Q28">
        <f>SUMIFS($H$2:$H$201,$B$2:$B$201,"&lt;="&amp;B28)</f>
        <v>2448350</v>
      </c>
      <c r="R28" t="s">
        <v>149</v>
      </c>
      <c r="S28" s="8" t="s">
        <v>160</v>
      </c>
      <c r="T28">
        <f>_xlfn.XLOOKUP(LARGE(H2:H201,1),H2:H201,A2:A201)</f>
        <v>144</v>
      </c>
    </row>
    <row r="29" spans="1:20" x14ac:dyDescent="0.35">
      <c r="A29">
        <v>28</v>
      </c>
      <c r="B29" s="1">
        <v>45668</v>
      </c>
      <c r="C29" t="s">
        <v>9</v>
      </c>
      <c r="D29" t="s">
        <v>18</v>
      </c>
      <c r="E29" t="s">
        <v>26</v>
      </c>
      <c r="F29" t="s">
        <v>43</v>
      </c>
      <c r="G29" t="s">
        <v>28</v>
      </c>
      <c r="H29">
        <v>26850</v>
      </c>
      <c r="I29">
        <v>20892</v>
      </c>
      <c r="J29">
        <f>H29-I29</f>
        <v>5958</v>
      </c>
      <c r="K29" s="6">
        <f>J29/H29</f>
        <v>0.22189944134078213</v>
      </c>
      <c r="L29" t="str">
        <f t="array" ref="L29">_xlfn.IFS(J29&gt;15000,"Excellent",J29&gt;=5000,"Good",J29&lt;5000,"Poor")</f>
        <v>Good</v>
      </c>
      <c r="M29">
        <f t="array" ref="M29">_xlfn.XLOOKUP(G29,' Employee_Salary'!$A$1:A33,' Employee_Salary'!$B$1:B33,FALSE)</f>
        <v>45000</v>
      </c>
      <c r="N29" s="9">
        <f>M29/H29</f>
        <v>1.6759776536312849</v>
      </c>
      <c r="O29" s="9">
        <f>IF(D29="Electronics",H29*5%,IF(D29="Furniture",H29*8%,0))</f>
        <v>1342.5</v>
      </c>
      <c r="P29">
        <f>_xlfn.RANK.EQ(H29,$H$2:$H$201,0)</f>
        <v>22</v>
      </c>
      <c r="Q29">
        <f>SUMIFS($H$2:$H$201,$B$2:$B$201,"&lt;="&amp;B29)</f>
        <v>550830</v>
      </c>
      <c r="S29" t="s">
        <v>158</v>
      </c>
      <c r="T29">
        <f>_xlfn.XLOOKUP(LARGE(H3:H202,2),H3:H202,A3:A202)</f>
        <v>64</v>
      </c>
    </row>
    <row r="30" spans="1:20" x14ac:dyDescent="0.35">
      <c r="A30">
        <v>29</v>
      </c>
      <c r="B30" s="1">
        <v>45687</v>
      </c>
      <c r="C30" t="s">
        <v>37</v>
      </c>
      <c r="D30" t="s">
        <v>18</v>
      </c>
      <c r="E30" t="s">
        <v>19</v>
      </c>
      <c r="F30" t="s">
        <v>49</v>
      </c>
      <c r="G30" t="s">
        <v>23</v>
      </c>
      <c r="H30">
        <v>19466</v>
      </c>
      <c r="I30">
        <v>17460</v>
      </c>
      <c r="J30">
        <f>H30-I30</f>
        <v>2006</v>
      </c>
      <c r="K30" s="6">
        <f>J30/H30</f>
        <v>0.10305147436556046</v>
      </c>
      <c r="L30" t="str">
        <f t="array" ref="L30">_xlfn.IFS(J30&gt;15000,"Excellent",J30&gt;=5000,"Good",J30&lt;5000,"Poor")</f>
        <v>Poor</v>
      </c>
      <c r="M30">
        <f t="array" ref="M30">_xlfn.XLOOKUP(G30,' Employee_Salary'!$A$1:A34,' Employee_Salary'!$B$1:B34,FALSE)</f>
        <v>43000</v>
      </c>
      <c r="N30" s="9">
        <f>M30/H30</f>
        <v>2.2089797595808074</v>
      </c>
      <c r="O30" s="9">
        <f>IF(D30="Electronics",H30*5%,IF(D30="Furniture",H30*8%,0))</f>
        <v>973.30000000000007</v>
      </c>
      <c r="P30">
        <f>_xlfn.RANK.EQ(H30,$H$2:$H$201,0)</f>
        <v>72</v>
      </c>
      <c r="Q30">
        <f>SUMIFS($H$2:$H$201,$B$2:$B$201,"&lt;="&amp;B30)</f>
        <v>1735136</v>
      </c>
      <c r="S30" t="s">
        <v>159</v>
      </c>
      <c r="T30">
        <f>_xlfn.XLOOKUP(LARGE(H4:H203,3),H4:H203,A4:A203)</f>
        <v>10</v>
      </c>
    </row>
    <row r="31" spans="1:20" ht="29" x14ac:dyDescent="0.35">
      <c r="A31">
        <v>30</v>
      </c>
      <c r="B31" s="1">
        <v>45703</v>
      </c>
      <c r="C31" t="s">
        <v>9</v>
      </c>
      <c r="D31" t="s">
        <v>10</v>
      </c>
      <c r="E31" t="s">
        <v>15</v>
      </c>
      <c r="F31" t="s">
        <v>36</v>
      </c>
      <c r="G31" t="s">
        <v>35</v>
      </c>
      <c r="H31">
        <v>14784</v>
      </c>
      <c r="I31">
        <v>9723</v>
      </c>
      <c r="J31">
        <f>H31-I31</f>
        <v>5061</v>
      </c>
      <c r="K31" s="6">
        <f>J31/H31</f>
        <v>0.34232954545454547</v>
      </c>
      <c r="L31" t="str">
        <f t="array" ref="L31">_xlfn.IFS(J31&gt;15000,"Excellent",J31&gt;=5000,"Good",J31&lt;5000,"Poor")</f>
        <v>Good</v>
      </c>
      <c r="M31">
        <f t="array" ref="M31">_xlfn.XLOOKUP(G31,' Employee_Salary'!$A$1:A35,' Employee_Salary'!$B$1:B35,FALSE)</f>
        <v>40000</v>
      </c>
      <c r="N31" s="9">
        <f>M31/H31</f>
        <v>2.7056277056277058</v>
      </c>
      <c r="O31" s="9">
        <f>IF(D31="Electronics",H31*5%,IF(D31="Furniture",H31*8%,0))</f>
        <v>1182.72</v>
      </c>
      <c r="P31">
        <f>_xlfn.RANK.EQ(H31,$H$2:$H$201,0)</f>
        <v>110</v>
      </c>
      <c r="Q31">
        <f>SUMIFS($H$2:$H$201,$B$2:$B$201,"&lt;="&amp;B31)</f>
        <v>2463134</v>
      </c>
      <c r="R31" t="s">
        <v>150</v>
      </c>
      <c r="S31" s="8" t="s">
        <v>161</v>
      </c>
      <c r="T31">
        <f>_xlfn.XLOOKUP(SMALL(H2:H201,1),H2:H201,A2:A201)</f>
        <v>150</v>
      </c>
    </row>
    <row r="32" spans="1:20" ht="29" x14ac:dyDescent="0.35">
      <c r="A32">
        <v>31</v>
      </c>
      <c r="B32" s="1">
        <v>45670</v>
      </c>
      <c r="C32" t="s">
        <v>9</v>
      </c>
      <c r="D32" t="s">
        <v>18</v>
      </c>
      <c r="E32" t="s">
        <v>29</v>
      </c>
      <c r="F32" t="s">
        <v>50</v>
      </c>
      <c r="G32" t="s">
        <v>35</v>
      </c>
      <c r="H32">
        <v>28085</v>
      </c>
      <c r="I32">
        <v>22509</v>
      </c>
      <c r="J32">
        <f>H32-I32</f>
        <v>5576</v>
      </c>
      <c r="K32" s="6">
        <f>J32/H32</f>
        <v>0.19854014598540146</v>
      </c>
      <c r="L32" t="str">
        <f t="array" ref="L32">_xlfn.IFS(J32&gt;15000,"Excellent",J32&gt;=5000,"Good",J32&lt;5000,"Poor")</f>
        <v>Good</v>
      </c>
      <c r="M32">
        <f t="array" ref="M32">_xlfn.XLOOKUP(G32,' Employee_Salary'!$A$1:A36,' Employee_Salary'!$B$1:B36,FALSE)</f>
        <v>40000</v>
      </c>
      <c r="N32" s="9">
        <f>M32/H32</f>
        <v>1.424247819120527</v>
      </c>
      <c r="O32" s="9">
        <f>IF(D32="Electronics",H32*5%,IF(D32="Furniture",H32*8%,0))</f>
        <v>1404.25</v>
      </c>
      <c r="P32">
        <f>_xlfn.RANK.EQ(H32,$H$2:$H$201,0)</f>
        <v>12</v>
      </c>
      <c r="Q32">
        <f>SUMIFS($H$2:$H$201,$B$2:$B$201,"&lt;="&amp;B32)</f>
        <v>757644</v>
      </c>
      <c r="S32" s="8" t="s">
        <v>162</v>
      </c>
      <c r="T32">
        <f>_xlfn.XLOOKUP(SMALL(H3:H202,2),H3:H202,A3:A202)</f>
        <v>93</v>
      </c>
    </row>
    <row r="33" spans="1:20" x14ac:dyDescent="0.35">
      <c r="A33">
        <v>32</v>
      </c>
      <c r="B33" s="1">
        <v>45675</v>
      </c>
      <c r="C33" t="s">
        <v>37</v>
      </c>
      <c r="D33" t="s">
        <v>18</v>
      </c>
      <c r="E33" t="s">
        <v>26</v>
      </c>
      <c r="F33" t="s">
        <v>51</v>
      </c>
      <c r="G33" t="s">
        <v>33</v>
      </c>
      <c r="H33">
        <v>11264</v>
      </c>
      <c r="I33">
        <v>9957</v>
      </c>
      <c r="J33">
        <f>H33-I33</f>
        <v>1307</v>
      </c>
      <c r="K33" s="6">
        <f>J33/H33</f>
        <v>0.11603338068181818</v>
      </c>
      <c r="L33" t="str">
        <f t="array" ref="L33">_xlfn.IFS(J33&gt;15000,"Excellent",J33&gt;=5000,"Good",J33&lt;5000,"Poor")</f>
        <v>Poor</v>
      </c>
      <c r="M33">
        <f t="array" ref="M33">_xlfn.XLOOKUP(G33,' Employee_Salary'!$A$1:A37,' Employee_Salary'!$B$1:B37,FALSE)</f>
        <v>42000</v>
      </c>
      <c r="N33" s="9">
        <f>M33/H33</f>
        <v>3.7286931818181817</v>
      </c>
      <c r="O33" s="9">
        <f>IF(D33="Electronics",H33*5%,IF(D33="Furniture",H33*8%,0))</f>
        <v>563.20000000000005</v>
      </c>
      <c r="P33">
        <f>_xlfn.RANK.EQ(H33,$H$2:$H$201,0)</f>
        <v>145</v>
      </c>
      <c r="Q33">
        <f>SUMIFS($H$2:$H$201,$B$2:$B$201,"&lt;="&amp;B33)</f>
        <v>980127</v>
      </c>
    </row>
    <row r="34" spans="1:20" x14ac:dyDescent="0.35">
      <c r="A34">
        <v>33</v>
      </c>
      <c r="B34" s="1">
        <v>45680</v>
      </c>
      <c r="C34" t="s">
        <v>17</v>
      </c>
      <c r="D34" t="s">
        <v>18</v>
      </c>
      <c r="E34" t="s">
        <v>29</v>
      </c>
      <c r="F34" t="s">
        <v>44</v>
      </c>
      <c r="G34" t="s">
        <v>28</v>
      </c>
      <c r="H34">
        <v>10384</v>
      </c>
      <c r="I34">
        <v>7534</v>
      </c>
      <c r="J34">
        <f>H34-I34</f>
        <v>2850</v>
      </c>
      <c r="K34" s="6">
        <f>J34/H34</f>
        <v>0.2744607087827427</v>
      </c>
      <c r="L34" t="str">
        <f t="array" ref="L34">_xlfn.IFS(J34&gt;15000,"Excellent",J34&gt;=5000,"Good",J34&lt;5000,"Poor")</f>
        <v>Poor</v>
      </c>
      <c r="M34">
        <f t="array" ref="M34">_xlfn.XLOOKUP(G34,' Employee_Salary'!$A$1:A38,' Employee_Salary'!$B$1:B38,FALSE)</f>
        <v>45000</v>
      </c>
      <c r="N34" s="9">
        <f>M34/H34</f>
        <v>4.3335901386748841</v>
      </c>
      <c r="O34" s="9">
        <f>IF(D34="Electronics",H34*5%,IF(D34="Furniture",H34*8%,0))</f>
        <v>519.20000000000005</v>
      </c>
      <c r="P34">
        <f>_xlfn.RANK.EQ(H34,$H$2:$H$201,0)</f>
        <v>149</v>
      </c>
      <c r="Q34">
        <f>SUMIFS($H$2:$H$201,$B$2:$B$201,"&lt;="&amp;B34)</f>
        <v>1349916</v>
      </c>
      <c r="R34" t="s">
        <v>151</v>
      </c>
    </row>
    <row r="35" spans="1:20" x14ac:dyDescent="0.35">
      <c r="A35">
        <v>34</v>
      </c>
      <c r="B35" s="1">
        <v>45674</v>
      </c>
      <c r="C35" t="s">
        <v>14</v>
      </c>
      <c r="D35" t="s">
        <v>18</v>
      </c>
      <c r="E35" t="s">
        <v>19</v>
      </c>
      <c r="F35" t="s">
        <v>39</v>
      </c>
      <c r="G35" t="s">
        <v>33</v>
      </c>
      <c r="H35">
        <v>13816</v>
      </c>
      <c r="I35">
        <v>9688</v>
      </c>
      <c r="J35">
        <f>H35-I35</f>
        <v>4128</v>
      </c>
      <c r="K35" s="6">
        <f>J35/H35</f>
        <v>0.29878401852924147</v>
      </c>
      <c r="L35" t="str">
        <f t="array" ref="L35">_xlfn.IFS(J35&gt;15000,"Excellent",J35&gt;=5000,"Good",J35&lt;5000,"Poor")</f>
        <v>Poor</v>
      </c>
      <c r="M35">
        <f t="array" ref="M35">_xlfn.XLOOKUP(G35,' Employee_Salary'!$A$1:A39,' Employee_Salary'!$B$1:B39,FALSE)</f>
        <v>42000</v>
      </c>
      <c r="N35" s="9">
        <f>M35/H35</f>
        <v>3.039953676896352</v>
      </c>
      <c r="O35" s="9">
        <f>IF(D35="Electronics",H35*5%,IF(D35="Furniture",H35*8%,0))</f>
        <v>690.80000000000007</v>
      </c>
      <c r="P35">
        <f>_xlfn.RANK.EQ(H35,$H$2:$H$201,0)</f>
        <v>115</v>
      </c>
      <c r="Q35">
        <f>SUMIFS($H$2:$H$201,$B$2:$B$201,"&lt;="&amp;B35)</f>
        <v>947177</v>
      </c>
      <c r="R35" t="s">
        <v>152</v>
      </c>
      <c r="S35" t="s">
        <v>163</v>
      </c>
      <c r="T35">
        <f>SUMIFS(H2:H201,D2:D201,"Electronics",C2:C201,"North")</f>
        <v>344005</v>
      </c>
    </row>
    <row r="36" spans="1:20" x14ac:dyDescent="0.35">
      <c r="A36">
        <v>35</v>
      </c>
      <c r="B36" s="1">
        <v>45673</v>
      </c>
      <c r="C36" t="s">
        <v>9</v>
      </c>
      <c r="D36" t="s">
        <v>10</v>
      </c>
      <c r="E36" t="s">
        <v>15</v>
      </c>
      <c r="F36" t="s">
        <v>52</v>
      </c>
      <c r="G36" t="s">
        <v>13</v>
      </c>
      <c r="H36">
        <v>19945</v>
      </c>
      <c r="I36">
        <v>17781</v>
      </c>
      <c r="J36">
        <f>H36-I36</f>
        <v>2164</v>
      </c>
      <c r="K36" s="6">
        <f>J36/H36</f>
        <v>0.10849837051892705</v>
      </c>
      <c r="L36" t="str">
        <f t="array" ref="L36">_xlfn.IFS(J36&gt;15000,"Excellent",J36&gt;=5000,"Good",J36&lt;5000,"Poor")</f>
        <v>Poor</v>
      </c>
      <c r="M36">
        <f t="array" ref="M36">_xlfn.XLOOKUP(G36,' Employee_Salary'!$A$1:A40,' Employee_Salary'!$B$1:B40,FALSE)</f>
        <v>47000</v>
      </c>
      <c r="N36" s="9">
        <f>M36/H36</f>
        <v>2.3564803208824268</v>
      </c>
      <c r="O36" s="9">
        <f>IF(D36="Electronics",H36*5%,IF(D36="Furniture",H36*8%,0))</f>
        <v>1595.6000000000001</v>
      </c>
      <c r="P36">
        <f>_xlfn.RANK.EQ(H36,$H$2:$H$201,0)</f>
        <v>66</v>
      </c>
      <c r="Q36">
        <f>SUMIFS($H$2:$H$201,$B$2:$B$201,"&lt;="&amp;B36)</f>
        <v>933361</v>
      </c>
      <c r="R36" t="s">
        <v>153</v>
      </c>
      <c r="S36" t="s">
        <v>164</v>
      </c>
      <c r="T36">
        <f>SUMIFS(H2:H201,D2:D201,"Furniture",C2:C201,"South")</f>
        <v>522975</v>
      </c>
    </row>
    <row r="37" spans="1:20" x14ac:dyDescent="0.35">
      <c r="A37">
        <v>36</v>
      </c>
      <c r="B37" s="1">
        <v>45713</v>
      </c>
      <c r="C37" t="s">
        <v>9</v>
      </c>
      <c r="D37" t="s">
        <v>10</v>
      </c>
      <c r="E37" t="s">
        <v>15</v>
      </c>
      <c r="F37" t="s">
        <v>40</v>
      </c>
      <c r="G37" t="s">
        <v>28</v>
      </c>
      <c r="H37">
        <v>12316</v>
      </c>
      <c r="I37">
        <v>10577</v>
      </c>
      <c r="J37">
        <f>H37-I37</f>
        <v>1739</v>
      </c>
      <c r="K37" s="6">
        <f>J37/H37</f>
        <v>0.14119844105228971</v>
      </c>
      <c r="L37" t="str">
        <f t="array" ref="L37">_xlfn.IFS(J37&gt;15000,"Excellent",J37&gt;=5000,"Good",J37&lt;5000,"Poor")</f>
        <v>Poor</v>
      </c>
      <c r="M37">
        <f t="array" ref="M37">_xlfn.XLOOKUP(G37,' Employee_Salary'!$A$1:A41,' Employee_Salary'!$B$1:B41,FALSE)</f>
        <v>45000</v>
      </c>
      <c r="N37" s="9">
        <f>M37/H37</f>
        <v>3.6537836960051964</v>
      </c>
      <c r="O37" s="9">
        <f>IF(D37="Electronics",H37*5%,IF(D37="Furniture",H37*8%,0))</f>
        <v>985.28</v>
      </c>
      <c r="P37">
        <f>_xlfn.RANK.EQ(H37,$H$2:$H$201,0)</f>
        <v>135</v>
      </c>
      <c r="Q37">
        <f>SUMIFS($H$2:$H$201,$B$2:$B$201,"&lt;="&amp;B37)</f>
        <v>3053221</v>
      </c>
      <c r="R37" t="s">
        <v>154</v>
      </c>
      <c r="S37" t="s">
        <v>165</v>
      </c>
      <c r="T37">
        <f>SUMIFS(H2:H201,G2:G201,G36)</f>
        <v>509237</v>
      </c>
    </row>
    <row r="38" spans="1:20" x14ac:dyDescent="0.35">
      <c r="A38">
        <v>37</v>
      </c>
      <c r="B38" s="1">
        <v>45658</v>
      </c>
      <c r="C38" t="s">
        <v>9</v>
      </c>
      <c r="D38" t="s">
        <v>18</v>
      </c>
      <c r="E38" t="s">
        <v>26</v>
      </c>
      <c r="F38" t="s">
        <v>53</v>
      </c>
      <c r="G38" t="s">
        <v>33</v>
      </c>
      <c r="H38">
        <v>5269</v>
      </c>
      <c r="I38">
        <v>3833</v>
      </c>
      <c r="J38">
        <f>H38-I38</f>
        <v>1436</v>
      </c>
      <c r="K38" s="6">
        <f>J38/H38</f>
        <v>0.27253748339343331</v>
      </c>
      <c r="L38" t="str">
        <f t="array" ref="L38">_xlfn.IFS(J38&gt;15000,"Excellent",J38&gt;=5000,"Good",J38&lt;5000,"Poor")</f>
        <v>Poor</v>
      </c>
      <c r="M38">
        <f t="array" ref="M38">_xlfn.XLOOKUP(G38,' Employee_Salary'!$A$1:A42,' Employee_Salary'!$B$1:B42,FALSE)</f>
        <v>42000</v>
      </c>
      <c r="N38" s="9">
        <f>M38/H38</f>
        <v>7.9711520212564055</v>
      </c>
      <c r="O38" s="9">
        <f>IF(D38="Electronics",H38*5%,IF(D38="Furniture",H38*8%,0))</f>
        <v>263.45</v>
      </c>
      <c r="P38">
        <f>_xlfn.RANK.EQ(H38,$H$2:$H$201,0)</f>
        <v>182</v>
      </c>
      <c r="Q38">
        <f>SUMIFS($H$2:$H$201,$B$2:$B$201,"&lt;="&amp;B38)</f>
        <v>49160</v>
      </c>
    </row>
    <row r="39" spans="1:20" x14ac:dyDescent="0.35">
      <c r="A39">
        <v>38</v>
      </c>
      <c r="B39" s="1">
        <v>45661</v>
      </c>
      <c r="C39" t="s">
        <v>14</v>
      </c>
      <c r="D39" t="s">
        <v>10</v>
      </c>
      <c r="E39" t="s">
        <v>15</v>
      </c>
      <c r="F39" t="s">
        <v>43</v>
      </c>
      <c r="G39" t="s">
        <v>33</v>
      </c>
      <c r="H39">
        <v>23738</v>
      </c>
      <c r="I39">
        <v>16560</v>
      </c>
      <c r="J39">
        <f>H39-I39</f>
        <v>7178</v>
      </c>
      <c r="K39" s="6">
        <f>J39/H39</f>
        <v>0.30238436262532647</v>
      </c>
      <c r="L39" t="str">
        <f t="array" ref="L39">_xlfn.IFS(J39&gt;15000,"Excellent",J39&gt;=5000,"Good",J39&lt;5000,"Poor")</f>
        <v>Good</v>
      </c>
      <c r="M39">
        <f t="array" ref="M39">_xlfn.XLOOKUP(G39,' Employee_Salary'!$A$1:A43,' Employee_Salary'!$B$1:B43,FALSE)</f>
        <v>42000</v>
      </c>
      <c r="N39" s="9">
        <f>M39/H39</f>
        <v>1.7693150223270706</v>
      </c>
      <c r="O39" s="9">
        <f>IF(D39="Electronics",H39*5%,IF(D39="Furniture",H39*8%,0))</f>
        <v>1899.04</v>
      </c>
      <c r="P39">
        <f>_xlfn.RANK.EQ(H39,$H$2:$H$201,0)</f>
        <v>40</v>
      </c>
      <c r="Q39">
        <f>SUMIFS($H$2:$H$201,$B$2:$B$201,"&lt;="&amp;B39)</f>
        <v>165400</v>
      </c>
    </row>
    <row r="40" spans="1:20" x14ac:dyDescent="0.35">
      <c r="A40">
        <v>39</v>
      </c>
      <c r="B40" s="1">
        <v>45717</v>
      </c>
      <c r="C40" t="s">
        <v>37</v>
      </c>
      <c r="D40" t="s">
        <v>10</v>
      </c>
      <c r="E40" t="s">
        <v>11</v>
      </c>
      <c r="F40" t="s">
        <v>27</v>
      </c>
      <c r="G40" t="s">
        <v>23</v>
      </c>
      <c r="H40">
        <v>23819</v>
      </c>
      <c r="I40">
        <v>17508</v>
      </c>
      <c r="J40">
        <f>H40-I40</f>
        <v>6311</v>
      </c>
      <c r="K40" s="6">
        <f>J40/H40</f>
        <v>0.26495654729417689</v>
      </c>
      <c r="L40" t="str">
        <f t="array" ref="L40">_xlfn.IFS(J40&gt;15000,"Excellent",J40&gt;=5000,"Good",J40&lt;5000,"Poor")</f>
        <v>Good</v>
      </c>
      <c r="M40">
        <f t="array" ref="M40">_xlfn.XLOOKUP(G40,' Employee_Salary'!$A$1:A44,' Employee_Salary'!$B$1:B44,FALSE)</f>
        <v>43000</v>
      </c>
      <c r="N40" s="9">
        <f>M40/H40</f>
        <v>1.8052814979638103</v>
      </c>
      <c r="O40" s="9">
        <f>IF(D40="Electronics",H40*5%,IF(D40="Furniture",H40*8%,0))</f>
        <v>1905.52</v>
      </c>
      <c r="P40">
        <f>_xlfn.RANK.EQ(H40,$H$2:$H$201,0)</f>
        <v>39</v>
      </c>
      <c r="Q40">
        <f>SUMIFS($H$2:$H$201,$B$2:$B$201,"&lt;="&amp;B40)</f>
        <v>3235200</v>
      </c>
      <c r="R40" s="12" t="s">
        <v>166</v>
      </c>
    </row>
    <row r="41" spans="1:20" ht="29" x14ac:dyDescent="0.35">
      <c r="A41">
        <v>40</v>
      </c>
      <c r="B41" s="1">
        <v>45696</v>
      </c>
      <c r="C41" t="s">
        <v>14</v>
      </c>
      <c r="D41" t="s">
        <v>18</v>
      </c>
      <c r="E41" t="s">
        <v>26</v>
      </c>
      <c r="F41" t="s">
        <v>38</v>
      </c>
      <c r="G41" t="s">
        <v>23</v>
      </c>
      <c r="H41">
        <v>4280</v>
      </c>
      <c r="I41">
        <v>2925</v>
      </c>
      <c r="J41">
        <f>H41-I41</f>
        <v>1355</v>
      </c>
      <c r="K41" s="6">
        <f>J41/H41</f>
        <v>0.31658878504672899</v>
      </c>
      <c r="L41" t="str">
        <f t="array" ref="L41">_xlfn.IFS(J41&gt;15000,"Excellent",J41&gt;=5000,"Good",J41&lt;5000,"Poor")</f>
        <v>Poor</v>
      </c>
      <c r="M41">
        <f t="array" ref="M41">_xlfn.XLOOKUP(G41,' Employee_Salary'!$A$1:A45,' Employee_Salary'!$B$1:B45,FALSE)</f>
        <v>43000</v>
      </c>
      <c r="N41" s="9">
        <f>M41/H41</f>
        <v>10.046728971962617</v>
      </c>
      <c r="O41" s="9">
        <f>IF(D41="Electronics",H41*5%,IF(D41="Furniture",H41*8%,0))</f>
        <v>214</v>
      </c>
      <c r="P41">
        <f>_xlfn.RANK.EQ(H41,$H$2:$H$201,0)</f>
        <v>192</v>
      </c>
      <c r="Q41">
        <f>SUMIFS($H$2:$H$201,$B$2:$B$201,"&lt;="&amp;B41)</f>
        <v>2074177</v>
      </c>
      <c r="R41" s="8" t="s">
        <v>167</v>
      </c>
      <c r="S41" t="s">
        <v>172</v>
      </c>
      <c r="T41" t="b">
        <f>J2&lt;0</f>
        <v>0</v>
      </c>
    </row>
    <row r="42" spans="1:20" x14ac:dyDescent="0.35">
      <c r="A42">
        <v>41</v>
      </c>
      <c r="B42" s="1">
        <v>45691</v>
      </c>
      <c r="C42" t="s">
        <v>17</v>
      </c>
      <c r="D42" t="s">
        <v>18</v>
      </c>
      <c r="E42" t="s">
        <v>26</v>
      </c>
      <c r="F42" t="s">
        <v>54</v>
      </c>
      <c r="G42" t="s">
        <v>33</v>
      </c>
      <c r="H42">
        <v>18083</v>
      </c>
      <c r="I42">
        <v>13861</v>
      </c>
      <c r="J42">
        <f>H42-I42</f>
        <v>4222</v>
      </c>
      <c r="K42" s="6">
        <f>J42/H42</f>
        <v>0.23347895813747718</v>
      </c>
      <c r="L42" t="str">
        <f t="array" ref="L42">_xlfn.IFS(J42&gt;15000,"Excellent",J42&gt;=5000,"Good",J42&lt;5000,"Poor")</f>
        <v>Poor</v>
      </c>
      <c r="M42">
        <f t="array" ref="M42">_xlfn.XLOOKUP(G42,' Employee_Salary'!$A$1:A46,' Employee_Salary'!$B$1:B46,FALSE)</f>
        <v>42000</v>
      </c>
      <c r="N42" s="9">
        <f>M42/H42</f>
        <v>2.3226234584969307</v>
      </c>
      <c r="O42" s="9">
        <f>IF(D42="Electronics",H42*5%,IF(D42="Furniture",H42*8%,0))</f>
        <v>904.15000000000009</v>
      </c>
      <c r="P42">
        <f>_xlfn.RANK.EQ(H42,$H$2:$H$201,0)</f>
        <v>80</v>
      </c>
      <c r="Q42">
        <f>SUMIFS($H$2:$H$201,$B$2:$B$201,"&lt;="&amp;B42)</f>
        <v>1908942</v>
      </c>
      <c r="R42" t="s">
        <v>168</v>
      </c>
    </row>
    <row r="43" spans="1:20" ht="29" x14ac:dyDescent="0.35">
      <c r="A43">
        <v>42</v>
      </c>
      <c r="B43" s="1">
        <v>45681</v>
      </c>
      <c r="C43" t="s">
        <v>14</v>
      </c>
      <c r="D43" t="s">
        <v>10</v>
      </c>
      <c r="E43" t="s">
        <v>15</v>
      </c>
      <c r="F43" t="s">
        <v>46</v>
      </c>
      <c r="G43" t="s">
        <v>13</v>
      </c>
      <c r="H43">
        <v>22615</v>
      </c>
      <c r="I43">
        <v>14629</v>
      </c>
      <c r="J43">
        <f>H43-I43</f>
        <v>7986</v>
      </c>
      <c r="K43" s="6">
        <f>J43/H43</f>
        <v>0.35312845456555386</v>
      </c>
      <c r="L43" t="str">
        <f t="array" ref="L43">_xlfn.IFS(J43&gt;15000,"Excellent",J43&gt;=5000,"Good",J43&lt;5000,"Poor")</f>
        <v>Good</v>
      </c>
      <c r="M43">
        <f t="array" ref="M43">_xlfn.XLOOKUP(G43,' Employee_Salary'!$A$1:A47,' Employee_Salary'!$B$1:B47,FALSE)</f>
        <v>47000</v>
      </c>
      <c r="N43" s="9">
        <f>M43/H43</f>
        <v>2.0782666371877072</v>
      </c>
      <c r="O43" s="9">
        <f>IF(D43="Electronics",H43*5%,IF(D43="Furniture",H43*8%,0))</f>
        <v>1809.2</v>
      </c>
      <c r="P43">
        <f>_xlfn.RANK.EQ(H43,$H$2:$H$201,0)</f>
        <v>48</v>
      </c>
      <c r="Q43">
        <f>SUMIFS($H$2:$H$201,$B$2:$B$201,"&lt;="&amp;B43)</f>
        <v>1463299</v>
      </c>
      <c r="R43" t="s">
        <v>169</v>
      </c>
      <c r="S43" s="8" t="s">
        <v>173</v>
      </c>
      <c r="T43" t="str">
        <f>_xlfn.XLOOKUP(MAX(' Employee_Salary'!C1:C6),' Employee_Salary'!C1:C6,' Employee_Salary'!A1:A6)</f>
        <v>Aisha</v>
      </c>
    </row>
    <row r="44" spans="1:20" x14ac:dyDescent="0.35">
      <c r="A44">
        <v>43</v>
      </c>
      <c r="B44" s="1">
        <v>45668</v>
      </c>
      <c r="C44" t="s">
        <v>17</v>
      </c>
      <c r="D44" t="s">
        <v>18</v>
      </c>
      <c r="E44" t="s">
        <v>32</v>
      </c>
      <c r="F44" t="s">
        <v>12</v>
      </c>
      <c r="G44" t="s">
        <v>33</v>
      </c>
      <c r="H44">
        <v>16811</v>
      </c>
      <c r="I44">
        <v>13746</v>
      </c>
      <c r="J44">
        <f>H44-I44</f>
        <v>3065</v>
      </c>
      <c r="K44" s="6">
        <f>J44/H44</f>
        <v>0.18232109928023318</v>
      </c>
      <c r="L44" t="str">
        <f t="array" ref="L44">_xlfn.IFS(J44&gt;15000,"Excellent",J44&gt;=5000,"Good",J44&lt;5000,"Poor")</f>
        <v>Poor</v>
      </c>
      <c r="M44">
        <f t="array" ref="M44">_xlfn.XLOOKUP(G44,' Employee_Salary'!$A$1:A48,' Employee_Salary'!$B$1:B48,FALSE)</f>
        <v>42000</v>
      </c>
      <c r="N44" s="9">
        <f>M44/H44</f>
        <v>2.4983641663196718</v>
      </c>
      <c r="O44" s="9">
        <f>IF(D44="Electronics",H44*5%,IF(D44="Furniture",H44*8%,0))</f>
        <v>840.55000000000007</v>
      </c>
      <c r="P44">
        <f>_xlfn.RANK.EQ(H44,$H$2:$H$201,0)</f>
        <v>97</v>
      </c>
      <c r="Q44">
        <f>SUMIFS($H$2:$H$201,$B$2:$B$201,"&lt;="&amp;B44)</f>
        <v>550830</v>
      </c>
      <c r="R44" t="s">
        <v>170</v>
      </c>
      <c r="S44" t="s">
        <v>175</v>
      </c>
      <c r="T44" t="str" cm="1">
        <f t="array" ref="T44">_xlfn.XLOOKUP(MAX(Product!B1:B9),Product!B1:B9,_xlfn.ANCHORARRAY(Product!A1))</f>
        <v>Desk</v>
      </c>
    </row>
    <row r="45" spans="1:20" x14ac:dyDescent="0.35">
      <c r="A45">
        <v>44</v>
      </c>
      <c r="B45" s="1">
        <v>45682</v>
      </c>
      <c r="C45" t="s">
        <v>37</v>
      </c>
      <c r="D45" t="s">
        <v>10</v>
      </c>
      <c r="E45" t="s">
        <v>21</v>
      </c>
      <c r="F45" t="s">
        <v>53</v>
      </c>
      <c r="G45" t="s">
        <v>13</v>
      </c>
      <c r="H45">
        <v>12859</v>
      </c>
      <c r="I45">
        <v>8499</v>
      </c>
      <c r="J45">
        <f>H45-I45</f>
        <v>4360</v>
      </c>
      <c r="K45" s="6">
        <f>J45/H45</f>
        <v>0.33906213546932112</v>
      </c>
      <c r="L45" t="str">
        <f t="array" ref="L45">_xlfn.IFS(J45&gt;15000,"Excellent",J45&gt;=5000,"Good",J45&lt;5000,"Poor")</f>
        <v>Poor</v>
      </c>
      <c r="M45">
        <f t="array" ref="M45">_xlfn.XLOOKUP(G45,' Employee_Salary'!$A$1:A49,' Employee_Salary'!$B$1:B49,FALSE)</f>
        <v>47000</v>
      </c>
      <c r="N45" s="9">
        <f>M45/H45</f>
        <v>3.6550276071234156</v>
      </c>
      <c r="O45" s="9">
        <f>IF(D45="Electronics",H45*5%,IF(D45="Furniture",H45*8%,0))</f>
        <v>1028.72</v>
      </c>
      <c r="P45">
        <f>_xlfn.RANK.EQ(H45,$H$2:$H$201,0)</f>
        <v>125</v>
      </c>
      <c r="Q45">
        <f>SUMIFS($H$2:$H$201,$B$2:$B$201,"&lt;="&amp;B45)</f>
        <v>1502635</v>
      </c>
      <c r="R45" t="s">
        <v>171</v>
      </c>
      <c r="S45" t="s">
        <v>176</v>
      </c>
      <c r="T45" s="1">
        <f>_xlfn.XLOOKUP(MIN(H2:H201),H2:H201,B2:B201)</f>
        <v>45699</v>
      </c>
    </row>
    <row r="46" spans="1:20" x14ac:dyDescent="0.35">
      <c r="A46">
        <v>45</v>
      </c>
      <c r="B46" s="1">
        <v>45694</v>
      </c>
      <c r="C46" t="s">
        <v>37</v>
      </c>
      <c r="D46" t="s">
        <v>18</v>
      </c>
      <c r="E46" t="s">
        <v>29</v>
      </c>
      <c r="F46" t="s">
        <v>41</v>
      </c>
      <c r="G46" t="s">
        <v>33</v>
      </c>
      <c r="H46">
        <v>9025</v>
      </c>
      <c r="I46">
        <v>5975</v>
      </c>
      <c r="J46">
        <f>H46-I46</f>
        <v>3050</v>
      </c>
      <c r="K46" s="6">
        <f>J46/H46</f>
        <v>0.33795013850415512</v>
      </c>
      <c r="L46" t="str">
        <f t="array" ref="L46">_xlfn.IFS(J46&gt;15000,"Excellent",J46&gt;=5000,"Good",J46&lt;5000,"Poor")</f>
        <v>Poor</v>
      </c>
      <c r="M46">
        <f t="array" ref="M46">_xlfn.XLOOKUP(G46,' Employee_Salary'!$A$1:A50,' Employee_Salary'!$B$1:B50,FALSE)</f>
        <v>42000</v>
      </c>
      <c r="N46" s="9">
        <f>M46/H46</f>
        <v>4.6537396121883656</v>
      </c>
      <c r="O46" s="9">
        <f>IF(D46="Electronics",H46*5%,IF(D46="Furniture",H46*8%,0))</f>
        <v>451.25</v>
      </c>
      <c r="P46">
        <f>_xlfn.RANK.EQ(H46,$H$2:$H$201,0)</f>
        <v>157</v>
      </c>
      <c r="Q46">
        <f>SUMIFS($H$2:$H$201,$B$2:$B$201,"&lt;="&amp;B46)</f>
        <v>1993799</v>
      </c>
      <c r="T46" s="1"/>
    </row>
    <row r="47" spans="1:20" x14ac:dyDescent="0.35">
      <c r="A47">
        <v>46</v>
      </c>
      <c r="B47" s="1">
        <v>45704</v>
      </c>
      <c r="C47" t="s">
        <v>14</v>
      </c>
      <c r="D47" t="s">
        <v>10</v>
      </c>
      <c r="E47" t="s">
        <v>42</v>
      </c>
      <c r="F47" t="s">
        <v>52</v>
      </c>
      <c r="G47" t="s">
        <v>35</v>
      </c>
      <c r="H47">
        <v>27125</v>
      </c>
      <c r="I47">
        <v>24151</v>
      </c>
      <c r="J47">
        <f>H47-I47</f>
        <v>2974</v>
      </c>
      <c r="K47" s="6">
        <f>J47/H47</f>
        <v>0.1096405529953917</v>
      </c>
      <c r="L47" t="str">
        <f t="array" ref="L47">_xlfn.IFS(J47&gt;15000,"Excellent",J47&gt;=5000,"Good",J47&lt;5000,"Poor")</f>
        <v>Poor</v>
      </c>
      <c r="M47">
        <f t="array" ref="M47">_xlfn.XLOOKUP(G47,' Employee_Salary'!$A$1:A51,' Employee_Salary'!$B$1:B51,FALSE)</f>
        <v>40000</v>
      </c>
      <c r="N47" s="9">
        <f>M47/H47</f>
        <v>1.4746543778801844</v>
      </c>
      <c r="O47" s="9">
        <f>IF(D47="Electronics",H47*5%,IF(D47="Furniture",H47*8%,0))</f>
        <v>2170</v>
      </c>
      <c r="P47">
        <f>_xlfn.RANK.EQ(H47,$H$2:$H$201,0)</f>
        <v>21</v>
      </c>
      <c r="Q47">
        <f>SUMIFS($H$2:$H$201,$B$2:$B$201,"&lt;="&amp;B47)</f>
        <v>2568758</v>
      </c>
    </row>
    <row r="48" spans="1:20" x14ac:dyDescent="0.35">
      <c r="A48">
        <v>47</v>
      </c>
      <c r="B48" s="1">
        <v>45663</v>
      </c>
      <c r="C48" t="s">
        <v>37</v>
      </c>
      <c r="D48" t="s">
        <v>18</v>
      </c>
      <c r="E48" t="s">
        <v>32</v>
      </c>
      <c r="F48" t="s">
        <v>53</v>
      </c>
      <c r="G48" t="s">
        <v>28</v>
      </c>
      <c r="H48">
        <v>4910</v>
      </c>
      <c r="I48">
        <v>3805</v>
      </c>
      <c r="J48">
        <f>H48-I48</f>
        <v>1105</v>
      </c>
      <c r="K48" s="6">
        <f>J48/H48</f>
        <v>0.225050916496945</v>
      </c>
      <c r="L48" t="str">
        <f t="array" ref="L48">_xlfn.IFS(J48&gt;15000,"Excellent",J48&gt;=5000,"Good",J48&lt;5000,"Poor")</f>
        <v>Poor</v>
      </c>
      <c r="M48">
        <f t="array" ref="M48">_xlfn.XLOOKUP(G48,' Employee_Salary'!$A$1:A52,' Employee_Salary'!$B$1:B52,FALSE)</f>
        <v>45000</v>
      </c>
      <c r="N48" s="9">
        <f>M48/H48</f>
        <v>9.1649694501018324</v>
      </c>
      <c r="O48" s="9">
        <f>IF(D48="Electronics",H48*5%,IF(D48="Furniture",H48*8%,0))</f>
        <v>245.5</v>
      </c>
      <c r="P48">
        <f>_xlfn.RANK.EQ(H48,$H$2:$H$201,0)</f>
        <v>187</v>
      </c>
      <c r="Q48">
        <f>SUMIFS($H$2:$H$201,$B$2:$B$201,"&lt;="&amp;B48)</f>
        <v>314278</v>
      </c>
    </row>
    <row r="49" spans="1:17" x14ac:dyDescent="0.35">
      <c r="A49">
        <v>48</v>
      </c>
      <c r="B49" s="1">
        <v>45687</v>
      </c>
      <c r="C49" t="s">
        <v>17</v>
      </c>
      <c r="D49" t="s">
        <v>10</v>
      </c>
      <c r="E49" t="s">
        <v>42</v>
      </c>
      <c r="F49" t="s">
        <v>50</v>
      </c>
      <c r="G49" t="s">
        <v>33</v>
      </c>
      <c r="H49">
        <v>13768</v>
      </c>
      <c r="I49">
        <v>10313</v>
      </c>
      <c r="J49">
        <f>H49-I49</f>
        <v>3455</v>
      </c>
      <c r="K49" s="6">
        <f>J49/H49</f>
        <v>0.25094421847762927</v>
      </c>
      <c r="L49" t="str">
        <f t="array" ref="L49">_xlfn.IFS(J49&gt;15000,"Excellent",J49&gt;=5000,"Good",J49&lt;5000,"Poor")</f>
        <v>Poor</v>
      </c>
      <c r="M49">
        <f t="array" ref="M49">_xlfn.XLOOKUP(G49,' Employee_Salary'!$A$1:A53,' Employee_Salary'!$B$1:B53,FALSE)</f>
        <v>42000</v>
      </c>
      <c r="N49" s="9">
        <f>M49/H49</f>
        <v>3.05055200464846</v>
      </c>
      <c r="O49" s="9">
        <f>IF(D49="Electronics",H49*5%,IF(D49="Furniture",H49*8%,0))</f>
        <v>1101.44</v>
      </c>
      <c r="P49">
        <f>_xlfn.RANK.EQ(H49,$H$2:$H$201,0)</f>
        <v>116</v>
      </c>
      <c r="Q49">
        <f>SUMIFS($H$2:$H$201,$B$2:$B$201,"&lt;="&amp;B49)</f>
        <v>1735136</v>
      </c>
    </row>
    <row r="50" spans="1:17" x14ac:dyDescent="0.35">
      <c r="A50">
        <v>49</v>
      </c>
      <c r="B50" s="1">
        <v>45681</v>
      </c>
      <c r="C50" t="s">
        <v>17</v>
      </c>
      <c r="D50" t="s">
        <v>10</v>
      </c>
      <c r="E50" t="s">
        <v>15</v>
      </c>
      <c r="F50" t="s">
        <v>44</v>
      </c>
      <c r="G50" t="s">
        <v>35</v>
      </c>
      <c r="H50">
        <v>28518</v>
      </c>
      <c r="I50">
        <v>25660</v>
      </c>
      <c r="J50">
        <f>H50-I50</f>
        <v>2858</v>
      </c>
      <c r="K50" s="6">
        <f>J50/H50</f>
        <v>0.10021740655024897</v>
      </c>
      <c r="L50" t="str">
        <f t="array" ref="L50">_xlfn.IFS(J50&gt;15000,"Excellent",J50&gt;=5000,"Good",J50&lt;5000,"Poor")</f>
        <v>Poor</v>
      </c>
      <c r="M50">
        <f t="array" ref="M50">_xlfn.XLOOKUP(G50,' Employee_Salary'!$A$1:A54,' Employee_Salary'!$B$1:B54,FALSE)</f>
        <v>40000</v>
      </c>
      <c r="N50" s="9">
        <f>M50/H50</f>
        <v>1.402622904832036</v>
      </c>
      <c r="O50" s="9">
        <f>IF(D50="Electronics",H50*5%,IF(D50="Furniture",H50*8%,0))</f>
        <v>2281.44</v>
      </c>
      <c r="P50">
        <f>_xlfn.RANK.EQ(H50,$H$2:$H$201,0)</f>
        <v>8</v>
      </c>
      <c r="Q50">
        <f>SUMIFS($H$2:$H$201,$B$2:$B$201,"&lt;="&amp;B50)</f>
        <v>1463299</v>
      </c>
    </row>
    <row r="51" spans="1:17" x14ac:dyDescent="0.35">
      <c r="A51">
        <v>50</v>
      </c>
      <c r="B51" s="1">
        <v>45706</v>
      </c>
      <c r="C51" t="s">
        <v>37</v>
      </c>
      <c r="D51" t="s">
        <v>10</v>
      </c>
      <c r="E51" t="s">
        <v>11</v>
      </c>
      <c r="F51" t="s">
        <v>54</v>
      </c>
      <c r="G51" t="s">
        <v>28</v>
      </c>
      <c r="H51">
        <v>24630</v>
      </c>
      <c r="I51">
        <v>16859</v>
      </c>
      <c r="J51">
        <f>H51-I51</f>
        <v>7771</v>
      </c>
      <c r="K51" s="6">
        <f>J51/H51</f>
        <v>0.3155095412099066</v>
      </c>
      <c r="L51" t="str">
        <f t="array" ref="L51">_xlfn.IFS(J51&gt;15000,"Excellent",J51&gt;=5000,"Good",J51&lt;5000,"Poor")</f>
        <v>Good</v>
      </c>
      <c r="M51">
        <f t="array" ref="M51">_xlfn.XLOOKUP(G51,' Employee_Salary'!$A$1:A55,' Employee_Salary'!$B$1:B55,FALSE)</f>
        <v>45000</v>
      </c>
      <c r="N51" s="9">
        <f>M51/H51</f>
        <v>1.8270401948842874</v>
      </c>
      <c r="O51" s="9">
        <f>IF(D51="Electronics",H51*5%,IF(D51="Furniture",H51*8%,0))</f>
        <v>1970.4</v>
      </c>
      <c r="P51">
        <f>_xlfn.RANK.EQ(H51,$H$2:$H$201,0)</f>
        <v>32</v>
      </c>
      <c r="Q51">
        <f>SUMIFS($H$2:$H$201,$B$2:$B$201,"&lt;="&amp;B51)</f>
        <v>2761759</v>
      </c>
    </row>
    <row r="52" spans="1:17" x14ac:dyDescent="0.35">
      <c r="A52">
        <v>51</v>
      </c>
      <c r="B52" s="1">
        <v>45686</v>
      </c>
      <c r="C52" t="s">
        <v>17</v>
      </c>
      <c r="D52" t="s">
        <v>18</v>
      </c>
      <c r="E52" t="s">
        <v>19</v>
      </c>
      <c r="F52" t="s">
        <v>24</v>
      </c>
      <c r="G52" t="s">
        <v>33</v>
      </c>
      <c r="H52">
        <v>5943</v>
      </c>
      <c r="I52">
        <v>4384</v>
      </c>
      <c r="J52">
        <f>H52-I52</f>
        <v>1559</v>
      </c>
      <c r="K52" s="6">
        <f>J52/H52</f>
        <v>0.26232542486959448</v>
      </c>
      <c r="L52" t="str">
        <f t="array" ref="L52">_xlfn.IFS(J52&gt;15000,"Excellent",J52&gt;=5000,"Good",J52&lt;5000,"Poor")</f>
        <v>Poor</v>
      </c>
      <c r="M52">
        <f t="array" ref="M52">_xlfn.XLOOKUP(G52,' Employee_Salary'!$A$1:A56,' Employee_Salary'!$B$1:B56,FALSE)</f>
        <v>42000</v>
      </c>
      <c r="N52" s="9">
        <f>M52/H52</f>
        <v>7.0671378091872787</v>
      </c>
      <c r="O52" s="9">
        <f>IF(D52="Electronics",H52*5%,IF(D52="Furniture",H52*8%,0))</f>
        <v>297.15000000000003</v>
      </c>
      <c r="P52">
        <f>_xlfn.RANK.EQ(H52,$H$2:$H$201,0)</f>
        <v>177</v>
      </c>
      <c r="Q52">
        <f>SUMIFS($H$2:$H$201,$B$2:$B$201,"&lt;="&amp;B52)</f>
        <v>1678740</v>
      </c>
    </row>
    <row r="53" spans="1:17" x14ac:dyDescent="0.35">
      <c r="A53">
        <v>52</v>
      </c>
      <c r="B53" s="1">
        <v>45700</v>
      </c>
      <c r="C53" t="s">
        <v>9</v>
      </c>
      <c r="D53" t="s">
        <v>10</v>
      </c>
      <c r="E53" t="s">
        <v>42</v>
      </c>
      <c r="F53" t="s">
        <v>52</v>
      </c>
      <c r="G53" t="s">
        <v>13</v>
      </c>
      <c r="H53">
        <v>12216</v>
      </c>
      <c r="I53">
        <v>8895</v>
      </c>
      <c r="J53">
        <f>H53-I53</f>
        <v>3321</v>
      </c>
      <c r="K53" s="6">
        <f>J53/H53</f>
        <v>0.27185658153241649</v>
      </c>
      <c r="L53" t="str">
        <f t="array" ref="L53">_xlfn.IFS(J53&gt;15000,"Excellent",J53&gt;=5000,"Good",J53&lt;5000,"Poor")</f>
        <v>Poor</v>
      </c>
      <c r="M53">
        <f t="array" ref="M53">_xlfn.XLOOKUP(G53,' Employee_Salary'!$A$1:A57,' Employee_Salary'!$B$1:B57,FALSE)</f>
        <v>47000</v>
      </c>
      <c r="N53" s="9">
        <f>M53/H53</f>
        <v>3.8474132285527176</v>
      </c>
      <c r="O53" s="9">
        <f>IF(D53="Electronics",H53*5%,IF(D53="Furniture",H53*8%,0))</f>
        <v>977.28</v>
      </c>
      <c r="P53">
        <f>_xlfn.RANK.EQ(H53,$H$2:$H$201,0)</f>
        <v>140</v>
      </c>
      <c r="Q53">
        <f>SUMIFS($H$2:$H$201,$B$2:$B$201,"&lt;="&amp;B53)</f>
        <v>2334388</v>
      </c>
    </row>
    <row r="54" spans="1:17" x14ac:dyDescent="0.35">
      <c r="A54">
        <v>53</v>
      </c>
      <c r="B54" s="1">
        <v>45669</v>
      </c>
      <c r="C54" t="s">
        <v>14</v>
      </c>
      <c r="D54" t="s">
        <v>10</v>
      </c>
      <c r="E54" t="s">
        <v>42</v>
      </c>
      <c r="F54" t="s">
        <v>30</v>
      </c>
      <c r="G54" t="s">
        <v>28</v>
      </c>
      <c r="H54">
        <v>22306</v>
      </c>
      <c r="I54">
        <v>15746</v>
      </c>
      <c r="J54">
        <f>H54-I54</f>
        <v>6560</v>
      </c>
      <c r="K54" s="6">
        <f>J54/H54</f>
        <v>0.29409127588989509</v>
      </c>
      <c r="L54" t="str">
        <f t="array" ref="L54">_xlfn.IFS(J54&gt;15000,"Excellent",J54&gt;=5000,"Good",J54&lt;5000,"Poor")</f>
        <v>Good</v>
      </c>
      <c r="M54">
        <f t="array" ref="M54">_xlfn.XLOOKUP(G54,' Employee_Salary'!$A$1:A58,' Employee_Salary'!$B$1:B58,FALSE)</f>
        <v>45000</v>
      </c>
      <c r="N54" s="9">
        <f>M54/H54</f>
        <v>2.0173944230251952</v>
      </c>
      <c r="O54" s="9">
        <f>IF(D54="Electronics",H54*5%,IF(D54="Furniture",H54*8%,0))</f>
        <v>1784.48</v>
      </c>
      <c r="P54">
        <f>_xlfn.RANK.EQ(H54,$H$2:$H$201,0)</f>
        <v>51</v>
      </c>
      <c r="Q54">
        <f>SUMIFS($H$2:$H$201,$B$2:$B$201,"&lt;="&amp;B54)</f>
        <v>665652</v>
      </c>
    </row>
    <row r="55" spans="1:17" x14ac:dyDescent="0.35">
      <c r="A55">
        <v>54</v>
      </c>
      <c r="B55" s="1">
        <v>45667</v>
      </c>
      <c r="C55" t="s">
        <v>17</v>
      </c>
      <c r="D55" t="s">
        <v>10</v>
      </c>
      <c r="E55" t="s">
        <v>15</v>
      </c>
      <c r="F55" t="s">
        <v>20</v>
      </c>
      <c r="G55" t="s">
        <v>23</v>
      </c>
      <c r="H55">
        <v>17746</v>
      </c>
      <c r="I55">
        <v>11244</v>
      </c>
      <c r="J55">
        <f>H55-I55</f>
        <v>6502</v>
      </c>
      <c r="K55" s="6">
        <f>J55/H55</f>
        <v>0.36639242646230136</v>
      </c>
      <c r="L55" t="str">
        <f t="array" ref="L55">_xlfn.IFS(J55&gt;15000,"Excellent",J55&gt;=5000,"Good",J55&lt;5000,"Poor")</f>
        <v>Good</v>
      </c>
      <c r="M55">
        <f t="array" ref="M55">_xlfn.XLOOKUP(G55,' Employee_Salary'!$A$1:A59,' Employee_Salary'!$B$1:B59,FALSE)</f>
        <v>43000</v>
      </c>
      <c r="N55" s="9">
        <f>M55/H55</f>
        <v>2.4230812577482248</v>
      </c>
      <c r="O55" s="9">
        <f>IF(D55="Electronics",H55*5%,IF(D55="Furniture",H55*8%,0))</f>
        <v>1419.68</v>
      </c>
      <c r="P55">
        <f>_xlfn.RANK.EQ(H55,$H$2:$H$201,0)</f>
        <v>85</v>
      </c>
      <c r="Q55">
        <f>SUMIFS($H$2:$H$201,$B$2:$B$201,"&lt;="&amp;B55)</f>
        <v>497964</v>
      </c>
    </row>
    <row r="56" spans="1:17" x14ac:dyDescent="0.35">
      <c r="A56">
        <v>55</v>
      </c>
      <c r="B56" s="1">
        <v>45717</v>
      </c>
      <c r="C56" t="s">
        <v>9</v>
      </c>
      <c r="D56" t="s">
        <v>18</v>
      </c>
      <c r="E56" t="s">
        <v>32</v>
      </c>
      <c r="F56" t="s">
        <v>38</v>
      </c>
      <c r="G56" t="s">
        <v>28</v>
      </c>
      <c r="H56">
        <v>17314</v>
      </c>
      <c r="I56">
        <v>12062</v>
      </c>
      <c r="J56">
        <f>H56-I56</f>
        <v>5252</v>
      </c>
      <c r="K56" s="6">
        <f>J56/H56</f>
        <v>0.30333833891648376</v>
      </c>
      <c r="L56" t="str">
        <f t="array" ref="L56">_xlfn.IFS(J56&gt;15000,"Excellent",J56&gt;=5000,"Good",J56&lt;5000,"Poor")</f>
        <v>Good</v>
      </c>
      <c r="M56">
        <f t="array" ref="M56">_xlfn.XLOOKUP(G56,' Employee_Salary'!$A$1:A60,' Employee_Salary'!$B$1:B60,FALSE)</f>
        <v>45000</v>
      </c>
      <c r="N56" s="9">
        <f>M56/H56</f>
        <v>2.5990527896499942</v>
      </c>
      <c r="O56" s="9">
        <f>IF(D56="Electronics",H56*5%,IF(D56="Furniture",H56*8%,0))</f>
        <v>865.7</v>
      </c>
      <c r="P56">
        <f>_xlfn.RANK.EQ(H56,$H$2:$H$201,0)</f>
        <v>91</v>
      </c>
      <c r="Q56">
        <f>SUMIFS($H$2:$H$201,$B$2:$B$201,"&lt;="&amp;B56)</f>
        <v>3235200</v>
      </c>
    </row>
    <row r="57" spans="1:17" x14ac:dyDescent="0.35">
      <c r="A57">
        <v>56</v>
      </c>
      <c r="B57" s="1">
        <v>45678</v>
      </c>
      <c r="C57" t="s">
        <v>17</v>
      </c>
      <c r="D57" t="s">
        <v>10</v>
      </c>
      <c r="E57" t="s">
        <v>11</v>
      </c>
      <c r="F57" t="s">
        <v>48</v>
      </c>
      <c r="G57" t="s">
        <v>33</v>
      </c>
      <c r="H57">
        <v>26570</v>
      </c>
      <c r="I57">
        <v>20277</v>
      </c>
      <c r="J57">
        <f>H57-I57</f>
        <v>6293</v>
      </c>
      <c r="K57" s="6">
        <f>J57/H57</f>
        <v>0.23684606699284907</v>
      </c>
      <c r="L57" t="str">
        <f t="array" ref="L57">_xlfn.IFS(J57&gt;15000,"Excellent",J57&gt;=5000,"Good",J57&lt;5000,"Poor")</f>
        <v>Good</v>
      </c>
      <c r="M57">
        <f t="array" ref="M57">_xlfn.XLOOKUP(G57,' Employee_Salary'!$A$1:A61,' Employee_Salary'!$B$1:B61,FALSE)</f>
        <v>42000</v>
      </c>
      <c r="N57" s="9">
        <f>M57/H57</f>
        <v>1.5807301467820851</v>
      </c>
      <c r="O57" s="9">
        <f>IF(D57="Electronics",H57*5%,IF(D57="Furniture",H57*8%,0))</f>
        <v>2125.6</v>
      </c>
      <c r="P57">
        <f>_xlfn.RANK.EQ(H57,$H$2:$H$201,0)</f>
        <v>25</v>
      </c>
      <c r="Q57">
        <f>SUMIFS($H$2:$H$201,$B$2:$B$201,"&lt;="&amp;B57)</f>
        <v>1191668</v>
      </c>
    </row>
    <row r="58" spans="1:17" x14ac:dyDescent="0.35">
      <c r="A58">
        <v>57</v>
      </c>
      <c r="B58" s="1">
        <v>45673</v>
      </c>
      <c r="C58" t="s">
        <v>9</v>
      </c>
      <c r="D58" t="s">
        <v>10</v>
      </c>
      <c r="E58" t="s">
        <v>42</v>
      </c>
      <c r="F58" t="s">
        <v>55</v>
      </c>
      <c r="G58" t="s">
        <v>35</v>
      </c>
      <c r="H58">
        <v>18440</v>
      </c>
      <c r="I58">
        <v>14772</v>
      </c>
      <c r="J58">
        <f>H58-I58</f>
        <v>3668</v>
      </c>
      <c r="K58" s="6">
        <f>J58/H58</f>
        <v>0.19891540130151844</v>
      </c>
      <c r="L58" t="str">
        <f t="array" ref="L58">_xlfn.IFS(J58&gt;15000,"Excellent",J58&gt;=5000,"Good",J58&lt;5000,"Poor")</f>
        <v>Poor</v>
      </c>
      <c r="M58">
        <f t="array" ref="M58">_xlfn.XLOOKUP(G58,' Employee_Salary'!$A$1:A62,' Employee_Salary'!$B$1:B62,FALSE)</f>
        <v>40000</v>
      </c>
      <c r="N58" s="9">
        <f>M58/H58</f>
        <v>2.1691973969631237</v>
      </c>
      <c r="O58" s="9">
        <f>IF(D58="Electronics",H58*5%,IF(D58="Furniture",H58*8%,0))</f>
        <v>1475.2</v>
      </c>
      <c r="P58">
        <f>_xlfn.RANK.EQ(H58,$H$2:$H$201,0)</f>
        <v>79</v>
      </c>
      <c r="Q58">
        <f>SUMIFS($H$2:$H$201,$B$2:$B$201,"&lt;="&amp;B58)</f>
        <v>933361</v>
      </c>
    </row>
    <row r="59" spans="1:17" x14ac:dyDescent="0.35">
      <c r="A59">
        <v>58</v>
      </c>
      <c r="B59" s="1">
        <v>45677</v>
      </c>
      <c r="C59" t="s">
        <v>17</v>
      </c>
      <c r="D59" t="s">
        <v>10</v>
      </c>
      <c r="E59" t="s">
        <v>21</v>
      </c>
      <c r="F59" t="s">
        <v>55</v>
      </c>
      <c r="G59" t="s">
        <v>28</v>
      </c>
      <c r="H59">
        <v>18052</v>
      </c>
      <c r="I59">
        <v>16236</v>
      </c>
      <c r="J59">
        <f>H59-I59</f>
        <v>1816</v>
      </c>
      <c r="K59" s="6">
        <f>J59/H59</f>
        <v>0.10059827165964991</v>
      </c>
      <c r="L59" t="str">
        <f t="array" ref="L59">_xlfn.IFS(J59&gt;15000,"Excellent",J59&gt;=5000,"Good",J59&lt;5000,"Poor")</f>
        <v>Poor</v>
      </c>
      <c r="M59">
        <f t="array" ref="M59">_xlfn.XLOOKUP(G59,' Employee_Salary'!$A$1:A63,' Employee_Salary'!$B$1:B63,FALSE)</f>
        <v>45000</v>
      </c>
      <c r="N59" s="9">
        <f>M59/H59</f>
        <v>2.4927985818745846</v>
      </c>
      <c r="O59" s="9">
        <f>IF(D59="Electronics",H59*5%,IF(D59="Furniture",H59*8%,0))</f>
        <v>1444.16</v>
      </c>
      <c r="P59">
        <f>_xlfn.RANK.EQ(H59,$H$2:$H$201,0)</f>
        <v>81</v>
      </c>
      <c r="Q59">
        <f>SUMIFS($H$2:$H$201,$B$2:$B$201,"&lt;="&amp;B59)</f>
        <v>1137341</v>
      </c>
    </row>
    <row r="60" spans="1:17" x14ac:dyDescent="0.35">
      <c r="A60">
        <v>59</v>
      </c>
      <c r="B60" s="1">
        <v>45660</v>
      </c>
      <c r="C60" t="s">
        <v>14</v>
      </c>
      <c r="D60" t="s">
        <v>18</v>
      </c>
      <c r="E60" t="s">
        <v>29</v>
      </c>
      <c r="F60" t="s">
        <v>22</v>
      </c>
      <c r="G60" t="s">
        <v>28</v>
      </c>
      <c r="H60">
        <v>27796</v>
      </c>
      <c r="I60">
        <v>18235</v>
      </c>
      <c r="J60">
        <f>H60-I60</f>
        <v>9561</v>
      </c>
      <c r="K60" s="6">
        <f>J60/H60</f>
        <v>0.34397035544682686</v>
      </c>
      <c r="L60" t="str">
        <f t="array" ref="L60">_xlfn.IFS(J60&gt;15000,"Excellent",J60&gt;=5000,"Good",J60&lt;5000,"Poor")</f>
        <v>Good</v>
      </c>
      <c r="M60">
        <f t="array" ref="M60">_xlfn.XLOOKUP(G60,' Employee_Salary'!$A$1:A64,' Employee_Salary'!$B$1:B64,FALSE)</f>
        <v>45000</v>
      </c>
      <c r="N60" s="9">
        <f>M60/H60</f>
        <v>1.6189379766872931</v>
      </c>
      <c r="O60" s="9">
        <f>IF(D60="Electronics",H60*5%,IF(D60="Furniture",H60*8%,0))</f>
        <v>1389.8000000000002</v>
      </c>
      <c r="P60">
        <f>_xlfn.RANK.EQ(H60,$H$2:$H$201,0)</f>
        <v>15</v>
      </c>
      <c r="Q60">
        <f>SUMIFS($H$2:$H$201,$B$2:$B$201,"&lt;="&amp;B60)</f>
        <v>118866</v>
      </c>
    </row>
    <row r="61" spans="1:17" x14ac:dyDescent="0.35">
      <c r="A61">
        <v>60</v>
      </c>
      <c r="B61" s="1">
        <v>45683</v>
      </c>
      <c r="C61" t="s">
        <v>9</v>
      </c>
      <c r="D61" t="s">
        <v>10</v>
      </c>
      <c r="E61" t="s">
        <v>15</v>
      </c>
      <c r="F61" t="s">
        <v>56</v>
      </c>
      <c r="G61" t="s">
        <v>23</v>
      </c>
      <c r="H61">
        <v>21524</v>
      </c>
      <c r="I61">
        <v>14147</v>
      </c>
      <c r="J61">
        <f>H61-I61</f>
        <v>7377</v>
      </c>
      <c r="K61" s="6">
        <f>J61/H61</f>
        <v>0.34273369262218917</v>
      </c>
      <c r="L61" t="str">
        <f t="array" ref="L61">_xlfn.IFS(J61&gt;15000,"Excellent",J61&gt;=5000,"Good",J61&lt;5000,"Poor")</f>
        <v>Good</v>
      </c>
      <c r="M61">
        <f t="array" ref="M61">_xlfn.XLOOKUP(G61,' Employee_Salary'!$A$1:A65,' Employee_Salary'!$B$1:B65,FALSE)</f>
        <v>43000</v>
      </c>
      <c r="N61" s="9">
        <f>M61/H61</f>
        <v>1.9977699312395465</v>
      </c>
      <c r="O61" s="9">
        <f>IF(D61="Electronics",H61*5%,IF(D61="Furniture",H61*8%,0))</f>
        <v>1721.92</v>
      </c>
      <c r="P61">
        <f>_xlfn.RANK.EQ(H61,$H$2:$H$201,0)</f>
        <v>57</v>
      </c>
      <c r="Q61">
        <f>SUMIFS($H$2:$H$201,$B$2:$B$201,"&lt;="&amp;B61)</f>
        <v>1589196</v>
      </c>
    </row>
    <row r="62" spans="1:17" x14ac:dyDescent="0.35">
      <c r="A62">
        <v>61</v>
      </c>
      <c r="B62" s="1">
        <v>45689</v>
      </c>
      <c r="C62" t="s">
        <v>9</v>
      </c>
      <c r="D62" t="s">
        <v>18</v>
      </c>
      <c r="E62" t="s">
        <v>19</v>
      </c>
      <c r="F62" t="s">
        <v>57</v>
      </c>
      <c r="G62" t="s">
        <v>13</v>
      </c>
      <c r="H62">
        <v>17658</v>
      </c>
      <c r="I62">
        <v>11884</v>
      </c>
      <c r="J62">
        <f>H62-I62</f>
        <v>5774</v>
      </c>
      <c r="K62" s="6">
        <f>J62/H62</f>
        <v>0.32699059916185297</v>
      </c>
      <c r="L62" t="str">
        <f t="array" ref="L62">_xlfn.IFS(J62&gt;15000,"Excellent",J62&gt;=5000,"Good",J62&lt;5000,"Poor")</f>
        <v>Good</v>
      </c>
      <c r="M62">
        <f t="array" ref="M62">_xlfn.XLOOKUP(G62,' Employee_Salary'!$A$1:A66,' Employee_Salary'!$B$1:B66,FALSE)</f>
        <v>47000</v>
      </c>
      <c r="N62" s="9">
        <f>M62/H62</f>
        <v>2.6616830898176462</v>
      </c>
      <c r="O62" s="9">
        <f>IF(D62="Electronics",H62*5%,IF(D62="Furniture",H62*8%,0))</f>
        <v>882.90000000000009</v>
      </c>
      <c r="P62">
        <f>_xlfn.RANK.EQ(H62,$H$2:$H$201,0)</f>
        <v>87</v>
      </c>
      <c r="Q62">
        <f>SUMIFS($H$2:$H$201,$B$2:$B$201,"&lt;="&amp;B62)</f>
        <v>1845453</v>
      </c>
    </row>
    <row r="63" spans="1:17" x14ac:dyDescent="0.35">
      <c r="A63">
        <v>62</v>
      </c>
      <c r="B63" s="1">
        <v>45659</v>
      </c>
      <c r="C63" t="s">
        <v>17</v>
      </c>
      <c r="D63" t="s">
        <v>18</v>
      </c>
      <c r="E63" t="s">
        <v>32</v>
      </c>
      <c r="F63" t="s">
        <v>58</v>
      </c>
      <c r="G63" t="s">
        <v>33</v>
      </c>
      <c r="H63">
        <v>16751</v>
      </c>
      <c r="I63">
        <v>12144</v>
      </c>
      <c r="J63">
        <f>H63-I63</f>
        <v>4607</v>
      </c>
      <c r="K63" s="6">
        <f>J63/H63</f>
        <v>0.27502835651602892</v>
      </c>
      <c r="L63" t="str">
        <f t="array" ref="L63">_xlfn.IFS(J63&gt;15000,"Excellent",J63&gt;=5000,"Good",J63&lt;5000,"Poor")</f>
        <v>Poor</v>
      </c>
      <c r="M63">
        <f t="array" ref="M63">_xlfn.XLOOKUP(G63,' Employee_Salary'!$A$1:A67,' Employee_Salary'!$B$1:B67,FALSE)</f>
        <v>42000</v>
      </c>
      <c r="N63" s="9">
        <f>M63/H63</f>
        <v>2.5073129962390306</v>
      </c>
      <c r="O63" s="9">
        <f>IF(D63="Electronics",H63*5%,IF(D63="Furniture",H63*8%,0))</f>
        <v>837.55000000000007</v>
      </c>
      <c r="P63">
        <f>_xlfn.RANK.EQ(H63,$H$2:$H$201,0)</f>
        <v>98</v>
      </c>
      <c r="Q63">
        <f>SUMIFS($H$2:$H$201,$B$2:$B$201,"&lt;="&amp;B63)</f>
        <v>85259</v>
      </c>
    </row>
    <row r="64" spans="1:17" x14ac:dyDescent="0.35">
      <c r="A64">
        <v>63</v>
      </c>
      <c r="B64" s="1">
        <v>45663</v>
      </c>
      <c r="C64" t="s">
        <v>17</v>
      </c>
      <c r="D64" t="s">
        <v>18</v>
      </c>
      <c r="E64" t="s">
        <v>32</v>
      </c>
      <c r="F64" t="s">
        <v>25</v>
      </c>
      <c r="G64" t="s">
        <v>13</v>
      </c>
      <c r="H64">
        <v>5069</v>
      </c>
      <c r="I64">
        <v>3665</v>
      </c>
      <c r="J64">
        <f>H64-I64</f>
        <v>1404</v>
      </c>
      <c r="K64" s="6">
        <f>J64/H64</f>
        <v>0.27697770763464197</v>
      </c>
      <c r="L64" t="str">
        <f t="array" ref="L64">_xlfn.IFS(J64&gt;15000,"Excellent",J64&gt;=5000,"Good",J64&lt;5000,"Poor")</f>
        <v>Poor</v>
      </c>
      <c r="M64">
        <f t="array" ref="M64">_xlfn.XLOOKUP(G64,' Employee_Salary'!$A$1:A68,' Employee_Salary'!$B$1:B68,FALSE)</f>
        <v>47000</v>
      </c>
      <c r="N64" s="9">
        <f>M64/H64</f>
        <v>9.2720457683961328</v>
      </c>
      <c r="O64" s="9">
        <f>IF(D64="Electronics",H64*5%,IF(D64="Furniture",H64*8%,0))</f>
        <v>253.45000000000002</v>
      </c>
      <c r="P64">
        <f>_xlfn.RANK.EQ(H64,$H$2:$H$201,0)</f>
        <v>184</v>
      </c>
      <c r="Q64">
        <f>SUMIFS($H$2:$H$201,$B$2:$B$201,"&lt;="&amp;B64)</f>
        <v>314278</v>
      </c>
    </row>
    <row r="65" spans="1:17" x14ac:dyDescent="0.35">
      <c r="A65">
        <v>64</v>
      </c>
      <c r="B65" s="1">
        <v>45704</v>
      </c>
      <c r="C65" t="s">
        <v>37</v>
      </c>
      <c r="D65" t="s">
        <v>10</v>
      </c>
      <c r="E65" t="s">
        <v>15</v>
      </c>
      <c r="F65" t="s">
        <v>59</v>
      </c>
      <c r="G65" t="s">
        <v>35</v>
      </c>
      <c r="H65">
        <v>29735</v>
      </c>
      <c r="I65">
        <v>24687</v>
      </c>
      <c r="J65">
        <f>H65-I65</f>
        <v>5048</v>
      </c>
      <c r="K65" s="6">
        <f>J65/H65</f>
        <v>0.16976626870691106</v>
      </c>
      <c r="L65" t="str">
        <f t="array" ref="L65">_xlfn.IFS(J65&gt;15000,"Excellent",J65&gt;=5000,"Good",J65&lt;5000,"Poor")</f>
        <v>Good</v>
      </c>
      <c r="M65">
        <f t="array" ref="M65">_xlfn.XLOOKUP(G65,' Employee_Salary'!$A$1:A69,' Employee_Salary'!$B$1:B69,FALSE)</f>
        <v>40000</v>
      </c>
      <c r="N65" s="9">
        <f>M65/H65</f>
        <v>1.3452160753321003</v>
      </c>
      <c r="O65" s="9">
        <f>IF(D65="Electronics",H65*5%,IF(D65="Furniture",H65*8%,0))</f>
        <v>2378.8000000000002</v>
      </c>
      <c r="P65">
        <f>_xlfn.RANK.EQ(H65,$H$2:$H$201,0)</f>
        <v>2</v>
      </c>
      <c r="Q65">
        <f>SUMIFS($H$2:$H$201,$B$2:$B$201,"&lt;="&amp;B65)</f>
        <v>2568758</v>
      </c>
    </row>
    <row r="66" spans="1:17" x14ac:dyDescent="0.35">
      <c r="A66">
        <v>65</v>
      </c>
      <c r="B66" s="1">
        <v>45670</v>
      </c>
      <c r="C66" t="s">
        <v>17</v>
      </c>
      <c r="D66" t="s">
        <v>10</v>
      </c>
      <c r="E66" t="s">
        <v>21</v>
      </c>
      <c r="F66" t="s">
        <v>60</v>
      </c>
      <c r="G66" t="s">
        <v>35</v>
      </c>
      <c r="H66">
        <v>15491</v>
      </c>
      <c r="I66">
        <v>9853</v>
      </c>
      <c r="J66">
        <f>H66-I66</f>
        <v>5638</v>
      </c>
      <c r="K66" s="6">
        <f>J66/H66</f>
        <v>0.3639532631850752</v>
      </c>
      <c r="L66" t="str">
        <f t="array" ref="L66">_xlfn.IFS(J66&gt;15000,"Excellent",J66&gt;=5000,"Good",J66&lt;5000,"Poor")</f>
        <v>Good</v>
      </c>
      <c r="M66">
        <f t="array" ref="M66">_xlfn.XLOOKUP(G66,' Employee_Salary'!$A$1:A70,' Employee_Salary'!$B$1:B70,FALSE)</f>
        <v>40000</v>
      </c>
      <c r="N66" s="9">
        <f>M66/H66</f>
        <v>2.5821444709831516</v>
      </c>
      <c r="O66" s="9">
        <f>IF(D66="Electronics",H66*5%,IF(D66="Furniture",H66*8%,0))</f>
        <v>1239.28</v>
      </c>
      <c r="P66">
        <f>_xlfn.RANK.EQ(H66,$H$2:$H$201,0)</f>
        <v>108</v>
      </c>
      <c r="Q66">
        <f>SUMIFS($H$2:$H$201,$B$2:$B$201,"&lt;="&amp;B66)</f>
        <v>757644</v>
      </c>
    </row>
    <row r="67" spans="1:17" x14ac:dyDescent="0.35">
      <c r="A67">
        <v>66</v>
      </c>
      <c r="B67" s="1">
        <v>45713</v>
      </c>
      <c r="C67" t="s">
        <v>17</v>
      </c>
      <c r="D67" t="s">
        <v>10</v>
      </c>
      <c r="E67" t="s">
        <v>15</v>
      </c>
      <c r="F67" t="s">
        <v>61</v>
      </c>
      <c r="G67" t="s">
        <v>33</v>
      </c>
      <c r="H67">
        <v>28106</v>
      </c>
      <c r="I67">
        <v>25013</v>
      </c>
      <c r="J67">
        <f>H67-I67</f>
        <v>3093</v>
      </c>
      <c r="K67" s="6">
        <f>J67/H67</f>
        <v>0.11004767665267202</v>
      </c>
      <c r="L67" t="str">
        <f t="array" ref="L67">_xlfn.IFS(J67&gt;15000,"Excellent",J67&gt;=5000,"Good",J67&lt;5000,"Poor")</f>
        <v>Poor</v>
      </c>
      <c r="M67">
        <f t="array" ref="M67">_xlfn.XLOOKUP(G67,' Employee_Salary'!$A$1:A71,' Employee_Salary'!$B$1:B71,FALSE)</f>
        <v>42000</v>
      </c>
      <c r="N67" s="9">
        <f>M67/H67</f>
        <v>1.49434284494414</v>
      </c>
      <c r="O67" s="9">
        <f>IF(D67="Electronics",H67*5%,IF(D67="Furniture",H67*8%,0))</f>
        <v>2248.48</v>
      </c>
      <c r="P67">
        <f>_xlfn.RANK.EQ(H67,$H$2:$H$201,0)</f>
        <v>11</v>
      </c>
      <c r="Q67">
        <f>SUMIFS($H$2:$H$201,$B$2:$B$201,"&lt;="&amp;B67)</f>
        <v>3053221</v>
      </c>
    </row>
    <row r="68" spans="1:17" x14ac:dyDescent="0.35">
      <c r="A68">
        <v>67</v>
      </c>
      <c r="B68" s="1">
        <v>45688</v>
      </c>
      <c r="C68" t="s">
        <v>14</v>
      </c>
      <c r="D68" t="s">
        <v>18</v>
      </c>
      <c r="E68" t="s">
        <v>29</v>
      </c>
      <c r="F68" t="s">
        <v>55</v>
      </c>
      <c r="G68" t="s">
        <v>35</v>
      </c>
      <c r="H68">
        <v>23089</v>
      </c>
      <c r="I68">
        <v>19254</v>
      </c>
      <c r="J68">
        <f>H68-I68</f>
        <v>3835</v>
      </c>
      <c r="K68" s="6">
        <f>J68/H68</f>
        <v>0.16609640954567109</v>
      </c>
      <c r="L68" t="str">
        <f t="array" ref="L68">_xlfn.IFS(J68&gt;15000,"Excellent",J68&gt;=5000,"Good",J68&lt;5000,"Poor")</f>
        <v>Poor</v>
      </c>
      <c r="M68">
        <f t="array" ref="M68">_xlfn.XLOOKUP(G68,' Employee_Salary'!$A$1:A72,' Employee_Salary'!$B$1:B72,FALSE)</f>
        <v>40000</v>
      </c>
      <c r="N68" s="9">
        <f>M68/H68</f>
        <v>1.7324266966953961</v>
      </c>
      <c r="O68" s="9">
        <f>IF(D68="Electronics",H68*5%,IF(D68="Furniture",H68*8%,0))</f>
        <v>1154.45</v>
      </c>
      <c r="P68">
        <f>_xlfn.RANK.EQ(H68,$H$2:$H$201,0)</f>
        <v>43</v>
      </c>
      <c r="Q68">
        <f>SUMIFS($H$2:$H$201,$B$2:$B$201,"&lt;="&amp;B68)</f>
        <v>1789203</v>
      </c>
    </row>
    <row r="69" spans="1:17" x14ac:dyDescent="0.35">
      <c r="A69">
        <v>68</v>
      </c>
      <c r="B69" s="1">
        <v>45678</v>
      </c>
      <c r="C69" t="s">
        <v>14</v>
      </c>
      <c r="D69" t="s">
        <v>18</v>
      </c>
      <c r="E69" t="s">
        <v>32</v>
      </c>
      <c r="F69" t="s">
        <v>24</v>
      </c>
      <c r="G69" t="s">
        <v>23</v>
      </c>
      <c r="H69">
        <v>20026</v>
      </c>
      <c r="I69">
        <v>17984</v>
      </c>
      <c r="J69">
        <f>H69-I69</f>
        <v>2042</v>
      </c>
      <c r="K69" s="6">
        <f>J69/H69</f>
        <v>0.10196744232497752</v>
      </c>
      <c r="L69" t="str">
        <f t="array" ref="L69">_xlfn.IFS(J69&gt;15000,"Excellent",J69&gt;=5000,"Good",J69&lt;5000,"Poor")</f>
        <v>Poor</v>
      </c>
      <c r="M69">
        <f t="array" ref="M69">_xlfn.XLOOKUP(G69,' Employee_Salary'!$A$1:A73,' Employee_Salary'!$B$1:B73,FALSE)</f>
        <v>43000</v>
      </c>
      <c r="N69" s="9">
        <f>M69/H69</f>
        <v>2.1472086287825825</v>
      </c>
      <c r="O69" s="9">
        <f>IF(D69="Electronics",H69*5%,IF(D69="Furniture",H69*8%,0))</f>
        <v>1001.3000000000001</v>
      </c>
      <c r="P69">
        <f>_xlfn.RANK.EQ(H69,$H$2:$H$201,0)</f>
        <v>65</v>
      </c>
      <c r="Q69">
        <f>SUMIFS($H$2:$H$201,$B$2:$B$201,"&lt;="&amp;B69)</f>
        <v>1191668</v>
      </c>
    </row>
    <row r="70" spans="1:17" x14ac:dyDescent="0.35">
      <c r="A70">
        <v>69</v>
      </c>
      <c r="B70" s="1">
        <v>45678</v>
      </c>
      <c r="C70" t="s">
        <v>9</v>
      </c>
      <c r="D70" t="s">
        <v>18</v>
      </c>
      <c r="E70" t="s">
        <v>26</v>
      </c>
      <c r="F70" t="s">
        <v>36</v>
      </c>
      <c r="G70" t="s">
        <v>13</v>
      </c>
      <c r="H70">
        <v>3988</v>
      </c>
      <c r="I70">
        <v>2714</v>
      </c>
      <c r="J70">
        <f>H70-I70</f>
        <v>1274</v>
      </c>
      <c r="K70" s="6">
        <f>J70/H70</f>
        <v>0.31945837512537612</v>
      </c>
      <c r="L70" t="str">
        <f t="array" ref="L70">_xlfn.IFS(J70&gt;15000,"Excellent",J70&gt;=5000,"Good",J70&lt;5000,"Poor")</f>
        <v>Poor</v>
      </c>
      <c r="M70">
        <f t="array" ref="M70">_xlfn.XLOOKUP(G70,' Employee_Salary'!$A$1:A74,' Employee_Salary'!$B$1:B74,FALSE)</f>
        <v>47000</v>
      </c>
      <c r="N70" s="9">
        <f>M70/H70</f>
        <v>11.785356068204614</v>
      </c>
      <c r="O70" s="9">
        <f>IF(D70="Electronics",H70*5%,IF(D70="Furniture",H70*8%,0))</f>
        <v>199.4</v>
      </c>
      <c r="P70">
        <f>_xlfn.RANK.EQ(H70,$H$2:$H$201,0)</f>
        <v>194</v>
      </c>
      <c r="Q70">
        <f>SUMIFS($H$2:$H$201,$B$2:$B$201,"&lt;="&amp;B70)</f>
        <v>1191668</v>
      </c>
    </row>
    <row r="71" spans="1:17" x14ac:dyDescent="0.35">
      <c r="A71">
        <v>70</v>
      </c>
      <c r="B71" s="1">
        <v>45668</v>
      </c>
      <c r="C71" t="s">
        <v>17</v>
      </c>
      <c r="D71" t="s">
        <v>10</v>
      </c>
      <c r="E71" t="s">
        <v>42</v>
      </c>
      <c r="F71" t="s">
        <v>22</v>
      </c>
      <c r="G71" t="s">
        <v>23</v>
      </c>
      <c r="H71">
        <v>9205</v>
      </c>
      <c r="I71">
        <v>8026</v>
      </c>
      <c r="J71">
        <f>H71-I71</f>
        <v>1179</v>
      </c>
      <c r="K71" s="6">
        <f>J71/H71</f>
        <v>0.12808256382400868</v>
      </c>
      <c r="L71" t="str">
        <f t="array" ref="L71">_xlfn.IFS(J71&gt;15000,"Excellent",J71&gt;=5000,"Good",J71&lt;5000,"Poor")</f>
        <v>Poor</v>
      </c>
      <c r="M71">
        <f t="array" ref="M71">_xlfn.XLOOKUP(G71,' Employee_Salary'!$A$1:A75,' Employee_Salary'!$B$1:B75,FALSE)</f>
        <v>43000</v>
      </c>
      <c r="N71" s="9">
        <f>M71/H71</f>
        <v>4.6713742531233029</v>
      </c>
      <c r="O71" s="9">
        <f>IF(D71="Electronics",H71*5%,IF(D71="Furniture",H71*8%,0))</f>
        <v>736.4</v>
      </c>
      <c r="P71">
        <f>_xlfn.RANK.EQ(H71,$H$2:$H$201,0)</f>
        <v>156</v>
      </c>
      <c r="Q71">
        <f>SUMIFS($H$2:$H$201,$B$2:$B$201,"&lt;="&amp;B71)</f>
        <v>550830</v>
      </c>
    </row>
    <row r="72" spans="1:17" x14ac:dyDescent="0.35">
      <c r="A72">
        <v>71</v>
      </c>
      <c r="B72" s="1">
        <v>45669</v>
      </c>
      <c r="C72" t="s">
        <v>37</v>
      </c>
      <c r="D72" t="s">
        <v>18</v>
      </c>
      <c r="E72" t="s">
        <v>26</v>
      </c>
      <c r="F72" t="s">
        <v>31</v>
      </c>
      <c r="G72" t="s">
        <v>28</v>
      </c>
      <c r="H72">
        <v>28902</v>
      </c>
      <c r="I72">
        <v>19105</v>
      </c>
      <c r="J72">
        <f>H72-I72</f>
        <v>9797</v>
      </c>
      <c r="K72" s="6">
        <f>J72/H72</f>
        <v>0.3389730814476507</v>
      </c>
      <c r="L72" t="str">
        <f t="array" ref="L72">_xlfn.IFS(J72&gt;15000,"Excellent",J72&gt;=5000,"Good",J72&lt;5000,"Poor")</f>
        <v>Good</v>
      </c>
      <c r="M72">
        <f t="array" ref="M72">_xlfn.XLOOKUP(G72,' Employee_Salary'!$A$1:A76,' Employee_Salary'!$B$1:B76,FALSE)</f>
        <v>45000</v>
      </c>
      <c r="N72" s="9">
        <f>M72/H72</f>
        <v>1.5569856757317833</v>
      </c>
      <c r="O72" s="9">
        <f>IF(D72="Electronics",H72*5%,IF(D72="Furniture",H72*8%,0))</f>
        <v>1445.1000000000001</v>
      </c>
      <c r="P72">
        <f>_xlfn.RANK.EQ(H72,$H$2:$H$201,0)</f>
        <v>6</v>
      </c>
      <c r="Q72">
        <f>SUMIFS($H$2:$H$201,$B$2:$B$201,"&lt;="&amp;B72)</f>
        <v>665652</v>
      </c>
    </row>
    <row r="73" spans="1:17" x14ac:dyDescent="0.35">
      <c r="A73">
        <v>72</v>
      </c>
      <c r="B73" s="1">
        <v>45690</v>
      </c>
      <c r="C73" t="s">
        <v>37</v>
      </c>
      <c r="D73" t="s">
        <v>18</v>
      </c>
      <c r="E73" t="s">
        <v>26</v>
      </c>
      <c r="F73" t="s">
        <v>62</v>
      </c>
      <c r="G73" t="s">
        <v>23</v>
      </c>
      <c r="H73">
        <v>17678</v>
      </c>
      <c r="I73">
        <v>14746</v>
      </c>
      <c r="J73">
        <f>H73-I73</f>
        <v>2932</v>
      </c>
      <c r="K73" s="6">
        <f>J73/H73</f>
        <v>0.16585586604819549</v>
      </c>
      <c r="L73" t="str">
        <f t="array" ref="L73">_xlfn.IFS(J73&gt;15000,"Excellent",J73&gt;=5000,"Good",J73&lt;5000,"Poor")</f>
        <v>Poor</v>
      </c>
      <c r="M73">
        <f t="array" ref="M73">_xlfn.XLOOKUP(G73,' Employee_Salary'!$A$1:A77,' Employee_Salary'!$B$1:B77,FALSE)</f>
        <v>43000</v>
      </c>
      <c r="N73" s="9">
        <f>M73/H73</f>
        <v>2.4324018554135085</v>
      </c>
      <c r="O73" s="9">
        <f>IF(D73="Electronics",H73*5%,IF(D73="Furniture",H73*8%,0))</f>
        <v>883.90000000000009</v>
      </c>
      <c r="P73">
        <f>_xlfn.RANK.EQ(H73,$H$2:$H$201,0)</f>
        <v>86</v>
      </c>
      <c r="Q73">
        <f>SUMIFS($H$2:$H$201,$B$2:$B$201,"&lt;="&amp;B73)</f>
        <v>1869415</v>
      </c>
    </row>
    <row r="74" spans="1:17" x14ac:dyDescent="0.35">
      <c r="A74">
        <v>73</v>
      </c>
      <c r="B74" s="1">
        <v>45676</v>
      </c>
      <c r="C74" t="s">
        <v>9</v>
      </c>
      <c r="D74" t="s">
        <v>18</v>
      </c>
      <c r="E74" t="s">
        <v>29</v>
      </c>
      <c r="F74" t="s">
        <v>53</v>
      </c>
      <c r="G74" t="s">
        <v>35</v>
      </c>
      <c r="H74">
        <v>26496</v>
      </c>
      <c r="I74">
        <v>23793</v>
      </c>
      <c r="J74">
        <f>H74-I74</f>
        <v>2703</v>
      </c>
      <c r="K74" s="6">
        <f>J74/H74</f>
        <v>0.10201539855072464</v>
      </c>
      <c r="L74" t="str">
        <f t="array" ref="L74">_xlfn.IFS(J74&gt;15000,"Excellent",J74&gt;=5000,"Good",J74&lt;5000,"Poor")</f>
        <v>Poor</v>
      </c>
      <c r="M74">
        <f t="array" ref="M74">_xlfn.XLOOKUP(G74,' Employee_Salary'!$A$1:A78,' Employee_Salary'!$B$1:B78,FALSE)</f>
        <v>40000</v>
      </c>
      <c r="N74" s="9">
        <f>M74/H74</f>
        <v>1.5096618357487923</v>
      </c>
      <c r="O74" s="9">
        <f>IF(D74="Electronics",H74*5%,IF(D74="Furniture",H74*8%,0))</f>
        <v>1324.8000000000002</v>
      </c>
      <c r="P74">
        <f>_xlfn.RANK.EQ(H74,$H$2:$H$201,0)</f>
        <v>26</v>
      </c>
      <c r="Q74">
        <f>SUMIFS($H$2:$H$201,$B$2:$B$201,"&lt;="&amp;B74)</f>
        <v>1012542</v>
      </c>
    </row>
    <row r="75" spans="1:17" x14ac:dyDescent="0.35">
      <c r="A75">
        <v>74</v>
      </c>
      <c r="B75" s="1">
        <v>45702</v>
      </c>
      <c r="C75" t="s">
        <v>14</v>
      </c>
      <c r="D75" t="s">
        <v>18</v>
      </c>
      <c r="E75" t="s">
        <v>32</v>
      </c>
      <c r="F75" t="s">
        <v>63</v>
      </c>
      <c r="G75" t="s">
        <v>23</v>
      </c>
      <c r="H75">
        <v>6369</v>
      </c>
      <c r="I75">
        <v>5405</v>
      </c>
      <c r="J75">
        <f>H75-I75</f>
        <v>964</v>
      </c>
      <c r="K75" s="6">
        <f>J75/H75</f>
        <v>0.1513581409954467</v>
      </c>
      <c r="L75" t="str">
        <f t="array" ref="L75">_xlfn.IFS(J75&gt;15000,"Excellent",J75&gt;=5000,"Good",J75&lt;5000,"Poor")</f>
        <v>Poor</v>
      </c>
      <c r="M75">
        <f t="array" ref="M75">_xlfn.XLOOKUP(G75,' Employee_Salary'!$A$1:A79,' Employee_Salary'!$B$1:B79,FALSE)</f>
        <v>43000</v>
      </c>
      <c r="N75" s="9">
        <f>M75/H75</f>
        <v>6.7514523473072696</v>
      </c>
      <c r="O75" s="9">
        <f>IF(D75="Electronics",H75*5%,IF(D75="Furniture",H75*8%,0))</f>
        <v>318.45000000000005</v>
      </c>
      <c r="P75">
        <f>_xlfn.RANK.EQ(H75,$H$2:$H$201,0)</f>
        <v>175</v>
      </c>
      <c r="Q75">
        <f>SUMIFS($H$2:$H$201,$B$2:$B$201,"&lt;="&amp;B75)</f>
        <v>2448350</v>
      </c>
    </row>
    <row r="76" spans="1:17" x14ac:dyDescent="0.35">
      <c r="A76">
        <v>75</v>
      </c>
      <c r="B76" s="1">
        <v>45670</v>
      </c>
      <c r="C76" t="s">
        <v>9</v>
      </c>
      <c r="D76" t="s">
        <v>18</v>
      </c>
      <c r="E76" t="s">
        <v>19</v>
      </c>
      <c r="F76" t="s">
        <v>22</v>
      </c>
      <c r="G76" t="s">
        <v>35</v>
      </c>
      <c r="H76">
        <v>17004</v>
      </c>
      <c r="I76">
        <v>10698</v>
      </c>
      <c r="J76">
        <f>H76-I76</f>
        <v>6306</v>
      </c>
      <c r="K76" s="6">
        <f>J76/H76</f>
        <v>0.37085391672547635</v>
      </c>
      <c r="L76" t="str">
        <f t="array" ref="L76">_xlfn.IFS(J76&gt;15000,"Excellent",J76&gt;=5000,"Good",J76&lt;5000,"Poor")</f>
        <v>Good</v>
      </c>
      <c r="M76">
        <f t="array" ref="M76">_xlfn.XLOOKUP(G76,' Employee_Salary'!$A$1:A80,' Employee_Salary'!$B$1:B80,FALSE)</f>
        <v>40000</v>
      </c>
      <c r="N76" s="9">
        <f>M76/H76</f>
        <v>2.3523876734885909</v>
      </c>
      <c r="O76" s="9">
        <f>IF(D76="Electronics",H76*5%,IF(D76="Furniture",H76*8%,0))</f>
        <v>850.2</v>
      </c>
      <c r="P76">
        <f>_xlfn.RANK.EQ(H76,$H$2:$H$201,0)</f>
        <v>96</v>
      </c>
      <c r="Q76">
        <f>SUMIFS($H$2:$H$201,$B$2:$B$201,"&lt;="&amp;B76)</f>
        <v>757644</v>
      </c>
    </row>
    <row r="77" spans="1:17" x14ac:dyDescent="0.35">
      <c r="A77">
        <v>76</v>
      </c>
      <c r="B77" s="1">
        <v>45695</v>
      </c>
      <c r="C77" t="s">
        <v>9</v>
      </c>
      <c r="D77" t="s">
        <v>10</v>
      </c>
      <c r="E77" t="s">
        <v>11</v>
      </c>
      <c r="F77" t="s">
        <v>45</v>
      </c>
      <c r="G77" t="s">
        <v>28</v>
      </c>
      <c r="H77">
        <v>5148</v>
      </c>
      <c r="I77">
        <v>3856</v>
      </c>
      <c r="J77">
        <f>H77-I77</f>
        <v>1292</v>
      </c>
      <c r="K77" s="6">
        <f>J77/H77</f>
        <v>0.25097125097125095</v>
      </c>
      <c r="L77" t="str">
        <f t="array" ref="L77">_xlfn.IFS(J77&gt;15000,"Excellent",J77&gt;=5000,"Good",J77&lt;5000,"Poor")</f>
        <v>Poor</v>
      </c>
      <c r="M77">
        <f t="array" ref="M77">_xlfn.XLOOKUP(G77,' Employee_Salary'!$A$1:A81,' Employee_Salary'!$B$1:B81,FALSE)</f>
        <v>45000</v>
      </c>
      <c r="N77" s="9">
        <f>M77/H77</f>
        <v>8.7412587412587417</v>
      </c>
      <c r="O77" s="9">
        <f>IF(D77="Electronics",H77*5%,IF(D77="Furniture",H77*8%,0))</f>
        <v>411.84000000000003</v>
      </c>
      <c r="P77">
        <f>_xlfn.RANK.EQ(H77,$H$2:$H$201,0)</f>
        <v>183</v>
      </c>
      <c r="Q77">
        <f>SUMIFS($H$2:$H$201,$B$2:$B$201,"&lt;="&amp;B77)</f>
        <v>2014845</v>
      </c>
    </row>
    <row r="78" spans="1:17" x14ac:dyDescent="0.35">
      <c r="A78">
        <v>77</v>
      </c>
      <c r="B78" s="1">
        <v>45676</v>
      </c>
      <c r="C78" t="s">
        <v>9</v>
      </c>
      <c r="D78" t="s">
        <v>18</v>
      </c>
      <c r="E78" t="s">
        <v>26</v>
      </c>
      <c r="F78" t="s">
        <v>64</v>
      </c>
      <c r="G78" t="s">
        <v>33</v>
      </c>
      <c r="H78">
        <v>5919</v>
      </c>
      <c r="I78">
        <v>5047</v>
      </c>
      <c r="J78">
        <f>H78-I78</f>
        <v>872</v>
      </c>
      <c r="K78" s="6">
        <f>J78/H78</f>
        <v>0.14732218280114884</v>
      </c>
      <c r="L78" t="str">
        <f t="array" ref="L78">_xlfn.IFS(J78&gt;15000,"Excellent",J78&gt;=5000,"Good",J78&lt;5000,"Poor")</f>
        <v>Poor</v>
      </c>
      <c r="M78">
        <f t="array" ref="M78">_xlfn.XLOOKUP(G78,' Employee_Salary'!$A$1:A82,' Employee_Salary'!$B$1:B82,FALSE)</f>
        <v>42000</v>
      </c>
      <c r="N78" s="9">
        <f>M78/H78</f>
        <v>7.0957932083122151</v>
      </c>
      <c r="O78" s="9">
        <f>IF(D78="Electronics",H78*5%,IF(D78="Furniture",H78*8%,0))</f>
        <v>295.95</v>
      </c>
      <c r="P78">
        <f>_xlfn.RANK.EQ(H78,$H$2:$H$201,0)</f>
        <v>178</v>
      </c>
      <c r="Q78">
        <f>SUMIFS($H$2:$H$201,$B$2:$B$201,"&lt;="&amp;B78)</f>
        <v>1012542</v>
      </c>
    </row>
    <row r="79" spans="1:17" x14ac:dyDescent="0.35">
      <c r="A79">
        <v>78</v>
      </c>
      <c r="B79" s="1">
        <v>45696</v>
      </c>
      <c r="C79" t="s">
        <v>9</v>
      </c>
      <c r="D79" t="s">
        <v>10</v>
      </c>
      <c r="E79" t="s">
        <v>42</v>
      </c>
      <c r="F79" t="s">
        <v>56</v>
      </c>
      <c r="G79" t="s">
        <v>33</v>
      </c>
      <c r="H79">
        <v>12848</v>
      </c>
      <c r="I79">
        <v>10792</v>
      </c>
      <c r="J79">
        <f>H79-I79</f>
        <v>2056</v>
      </c>
      <c r="K79" s="6">
        <f>J79/H79</f>
        <v>0.16002490660024907</v>
      </c>
      <c r="L79" t="str">
        <f t="array" ref="L79">_xlfn.IFS(J79&gt;15000,"Excellent",J79&gt;=5000,"Good",J79&lt;5000,"Poor")</f>
        <v>Poor</v>
      </c>
      <c r="M79">
        <f t="array" ref="M79">_xlfn.XLOOKUP(G79,' Employee_Salary'!$A$1:A83,' Employee_Salary'!$B$1:B83,FALSE)</f>
        <v>42000</v>
      </c>
      <c r="N79" s="9">
        <f>M79/H79</f>
        <v>3.268991282689913</v>
      </c>
      <c r="O79" s="9">
        <f>IF(D79="Electronics",H79*5%,IF(D79="Furniture",H79*8%,0))</f>
        <v>1027.8399999999999</v>
      </c>
      <c r="P79">
        <f>_xlfn.RANK.EQ(H79,$H$2:$H$201,0)</f>
        <v>126</v>
      </c>
      <c r="Q79">
        <f>SUMIFS($H$2:$H$201,$B$2:$B$201,"&lt;="&amp;B79)</f>
        <v>2074177</v>
      </c>
    </row>
    <row r="80" spans="1:17" x14ac:dyDescent="0.35">
      <c r="A80">
        <v>79</v>
      </c>
      <c r="B80" s="1">
        <v>45663</v>
      </c>
      <c r="C80" t="s">
        <v>37</v>
      </c>
      <c r="D80" t="s">
        <v>10</v>
      </c>
      <c r="E80" t="s">
        <v>42</v>
      </c>
      <c r="F80" t="s">
        <v>39</v>
      </c>
      <c r="G80" t="s">
        <v>23</v>
      </c>
      <c r="H80">
        <v>12268</v>
      </c>
      <c r="I80">
        <v>8818</v>
      </c>
      <c r="J80">
        <f>H80-I80</f>
        <v>3450</v>
      </c>
      <c r="K80" s="6">
        <f>J80/H80</f>
        <v>0.28121943267036192</v>
      </c>
      <c r="L80" t="str">
        <f t="array" ref="L80">_xlfn.IFS(J80&gt;15000,"Excellent",J80&gt;=5000,"Good",J80&lt;5000,"Poor")</f>
        <v>Poor</v>
      </c>
      <c r="M80">
        <f t="array" ref="M80">_xlfn.XLOOKUP(G80,' Employee_Salary'!$A$1:A84,' Employee_Salary'!$B$1:B84,FALSE)</f>
        <v>43000</v>
      </c>
      <c r="N80" s="9">
        <f>M80/H80</f>
        <v>3.5050537985001631</v>
      </c>
      <c r="O80" s="9">
        <f>IF(D80="Electronics",H80*5%,IF(D80="Furniture",H80*8%,0))</f>
        <v>981.44</v>
      </c>
      <c r="P80">
        <f>_xlfn.RANK.EQ(H80,$H$2:$H$201,0)</f>
        <v>137</v>
      </c>
      <c r="Q80">
        <f>SUMIFS($H$2:$H$201,$B$2:$B$201,"&lt;="&amp;B80)</f>
        <v>314278</v>
      </c>
    </row>
    <row r="81" spans="1:17" x14ac:dyDescent="0.35">
      <c r="A81">
        <v>80</v>
      </c>
      <c r="B81" s="1">
        <v>45705</v>
      </c>
      <c r="C81" t="s">
        <v>37</v>
      </c>
      <c r="D81" t="s">
        <v>18</v>
      </c>
      <c r="E81" t="s">
        <v>29</v>
      </c>
      <c r="F81" t="s">
        <v>40</v>
      </c>
      <c r="G81" t="s">
        <v>23</v>
      </c>
      <c r="H81">
        <v>26582</v>
      </c>
      <c r="I81">
        <v>19041</v>
      </c>
      <c r="J81">
        <f>H81-I81</f>
        <v>7541</v>
      </c>
      <c r="K81" s="6">
        <f>J81/H81</f>
        <v>0.2836882100669626</v>
      </c>
      <c r="L81" t="str">
        <f t="array" ref="L81">_xlfn.IFS(J81&gt;15000,"Excellent",J81&gt;=5000,"Good",J81&lt;5000,"Poor")</f>
        <v>Good</v>
      </c>
      <c r="M81">
        <f t="array" ref="M81">_xlfn.XLOOKUP(G81,' Employee_Salary'!$A$1:A85,' Employee_Salary'!$B$1:B85,FALSE)</f>
        <v>43000</v>
      </c>
      <c r="N81" s="9">
        <f>M81/H81</f>
        <v>1.6176359942818448</v>
      </c>
      <c r="O81" s="9">
        <f>IF(D81="Electronics",H81*5%,IF(D81="Furniture",H81*8%,0))</f>
        <v>1329.1000000000001</v>
      </c>
      <c r="P81">
        <f>_xlfn.RANK.EQ(H81,$H$2:$H$201,0)</f>
        <v>24</v>
      </c>
      <c r="Q81">
        <f>SUMIFS($H$2:$H$201,$B$2:$B$201,"&lt;="&amp;B81)</f>
        <v>2691046</v>
      </c>
    </row>
    <row r="82" spans="1:17" x14ac:dyDescent="0.35">
      <c r="A82">
        <v>81</v>
      </c>
      <c r="B82" s="1">
        <v>45697</v>
      </c>
      <c r="C82" t="s">
        <v>9</v>
      </c>
      <c r="D82" t="s">
        <v>18</v>
      </c>
      <c r="E82" t="s">
        <v>26</v>
      </c>
      <c r="F82" t="s">
        <v>27</v>
      </c>
      <c r="G82" t="s">
        <v>33</v>
      </c>
      <c r="H82">
        <v>16473</v>
      </c>
      <c r="I82">
        <v>14646</v>
      </c>
      <c r="J82">
        <f>H82-I82</f>
        <v>1827</v>
      </c>
      <c r="K82" s="6">
        <f>J82/H82</f>
        <v>0.11090875978874522</v>
      </c>
      <c r="L82" t="str">
        <f t="array" ref="L82">_xlfn.IFS(J82&gt;15000,"Excellent",J82&gt;=5000,"Good",J82&lt;5000,"Poor")</f>
        <v>Poor</v>
      </c>
      <c r="M82">
        <f t="array" ref="M82">_xlfn.XLOOKUP(G82,' Employee_Salary'!$A$1:A86,' Employee_Salary'!$B$1:B86,FALSE)</f>
        <v>42000</v>
      </c>
      <c r="N82" s="9">
        <f>M82/H82</f>
        <v>2.549626661810235</v>
      </c>
      <c r="O82" s="9">
        <f>IF(D82="Electronics",H82*5%,IF(D82="Furniture",H82*8%,0))</f>
        <v>823.65000000000009</v>
      </c>
      <c r="P82">
        <f>_xlfn.RANK.EQ(H82,$H$2:$H$201,0)</f>
        <v>103</v>
      </c>
      <c r="Q82">
        <f>SUMIFS($H$2:$H$201,$B$2:$B$201,"&lt;="&amp;B82)</f>
        <v>2181315</v>
      </c>
    </row>
    <row r="83" spans="1:17" x14ac:dyDescent="0.35">
      <c r="A83">
        <v>82</v>
      </c>
      <c r="B83" s="1">
        <v>45680</v>
      </c>
      <c r="C83" t="s">
        <v>17</v>
      </c>
      <c r="D83" t="s">
        <v>18</v>
      </c>
      <c r="E83" t="s">
        <v>19</v>
      </c>
      <c r="F83" t="s">
        <v>53</v>
      </c>
      <c r="G83" t="s">
        <v>23</v>
      </c>
      <c r="H83">
        <v>25437</v>
      </c>
      <c r="I83">
        <v>18625</v>
      </c>
      <c r="J83">
        <f>H83-I83</f>
        <v>6812</v>
      </c>
      <c r="K83" s="6">
        <f>J83/H83</f>
        <v>0.26779887565357552</v>
      </c>
      <c r="L83" t="str">
        <f t="array" ref="L83">_xlfn.IFS(J83&gt;15000,"Excellent",J83&gt;=5000,"Good",J83&lt;5000,"Poor")</f>
        <v>Good</v>
      </c>
      <c r="M83">
        <f t="array" ref="M83">_xlfn.XLOOKUP(G83,' Employee_Salary'!$A$1:A87,' Employee_Salary'!$B$1:B87,FALSE)</f>
        <v>43000</v>
      </c>
      <c r="N83" s="9">
        <f>M83/H83</f>
        <v>1.6904509179541614</v>
      </c>
      <c r="O83" s="9">
        <f>IF(D83="Electronics",H83*5%,IF(D83="Furniture",H83*8%,0))</f>
        <v>1271.8500000000001</v>
      </c>
      <c r="P83">
        <f>_xlfn.RANK.EQ(H83,$H$2:$H$201,0)</f>
        <v>30</v>
      </c>
      <c r="Q83">
        <f>SUMIFS($H$2:$H$201,$B$2:$B$201,"&lt;="&amp;B83)</f>
        <v>1349916</v>
      </c>
    </row>
    <row r="84" spans="1:17" x14ac:dyDescent="0.35">
      <c r="A84">
        <v>83</v>
      </c>
      <c r="B84" s="1">
        <v>45687</v>
      </c>
      <c r="C84" t="s">
        <v>14</v>
      </c>
      <c r="D84" t="s">
        <v>18</v>
      </c>
      <c r="E84" t="s">
        <v>32</v>
      </c>
      <c r="F84" t="s">
        <v>65</v>
      </c>
      <c r="G84" t="s">
        <v>13</v>
      </c>
      <c r="H84">
        <v>6512</v>
      </c>
      <c r="I84">
        <v>4039</v>
      </c>
      <c r="J84">
        <f>H84-I84</f>
        <v>2473</v>
      </c>
      <c r="K84" s="6">
        <f>J84/H84</f>
        <v>0.37976044226044225</v>
      </c>
      <c r="L84" t="str">
        <f t="array" ref="L84">_xlfn.IFS(J84&gt;15000,"Excellent",J84&gt;=5000,"Good",J84&lt;5000,"Poor")</f>
        <v>Poor</v>
      </c>
      <c r="M84">
        <f t="array" ref="M84">_xlfn.XLOOKUP(G84,' Employee_Salary'!$A$1:A88,' Employee_Salary'!$B$1:B88,FALSE)</f>
        <v>47000</v>
      </c>
      <c r="N84" s="9">
        <f>M84/H84</f>
        <v>7.2174447174447174</v>
      </c>
      <c r="O84" s="9">
        <f>IF(D84="Electronics",H84*5%,IF(D84="Furniture",H84*8%,0))</f>
        <v>325.60000000000002</v>
      </c>
      <c r="P84">
        <f>_xlfn.RANK.EQ(H84,$H$2:$H$201,0)</f>
        <v>173</v>
      </c>
      <c r="Q84">
        <f>SUMIFS($H$2:$H$201,$B$2:$B$201,"&lt;="&amp;B84)</f>
        <v>1735136</v>
      </c>
    </row>
    <row r="85" spans="1:17" x14ac:dyDescent="0.35">
      <c r="A85">
        <v>84</v>
      </c>
      <c r="B85" s="1">
        <v>45688</v>
      </c>
      <c r="C85" t="s">
        <v>17</v>
      </c>
      <c r="D85" t="s">
        <v>18</v>
      </c>
      <c r="E85" t="s">
        <v>26</v>
      </c>
      <c r="F85" t="s">
        <v>38</v>
      </c>
      <c r="G85" t="s">
        <v>35</v>
      </c>
      <c r="H85">
        <v>13717</v>
      </c>
      <c r="I85">
        <v>9719</v>
      </c>
      <c r="J85">
        <f>H85-I85</f>
        <v>3998</v>
      </c>
      <c r="K85" s="6">
        <f>J85/H85</f>
        <v>0.29146314791864109</v>
      </c>
      <c r="L85" t="str">
        <f t="array" ref="L85">_xlfn.IFS(J85&gt;15000,"Excellent",J85&gt;=5000,"Good",J85&lt;5000,"Poor")</f>
        <v>Poor</v>
      </c>
      <c r="M85">
        <f t="array" ref="M85">_xlfn.XLOOKUP(G85,' Employee_Salary'!$A$1:A89,' Employee_Salary'!$B$1:B89,FALSE)</f>
        <v>40000</v>
      </c>
      <c r="N85" s="9">
        <f>M85/H85</f>
        <v>2.9160895239483851</v>
      </c>
      <c r="O85" s="9">
        <f>IF(D85="Electronics",H85*5%,IF(D85="Furniture",H85*8%,0))</f>
        <v>685.85</v>
      </c>
      <c r="P85">
        <f>_xlfn.RANK.EQ(H85,$H$2:$H$201,0)</f>
        <v>118</v>
      </c>
      <c r="Q85">
        <f>SUMIFS($H$2:$H$201,$B$2:$B$201,"&lt;="&amp;B85)</f>
        <v>1789203</v>
      </c>
    </row>
    <row r="86" spans="1:17" x14ac:dyDescent="0.35">
      <c r="A86">
        <v>85</v>
      </c>
      <c r="B86" s="1">
        <v>45683</v>
      </c>
      <c r="C86" t="s">
        <v>9</v>
      </c>
      <c r="D86" t="s">
        <v>10</v>
      </c>
      <c r="E86" t="s">
        <v>11</v>
      </c>
      <c r="F86" t="s">
        <v>34</v>
      </c>
      <c r="G86" t="s">
        <v>35</v>
      </c>
      <c r="H86">
        <v>16696</v>
      </c>
      <c r="I86">
        <v>12537</v>
      </c>
      <c r="J86">
        <f>H86-I86</f>
        <v>4159</v>
      </c>
      <c r="K86" s="6">
        <f>J86/H86</f>
        <v>0.24910158121705797</v>
      </c>
      <c r="L86" t="str">
        <f t="array" ref="L86">_xlfn.IFS(J86&gt;15000,"Excellent",J86&gt;=5000,"Good",J86&lt;5000,"Poor")</f>
        <v>Poor</v>
      </c>
      <c r="M86">
        <f t="array" ref="M86">_xlfn.XLOOKUP(G86,' Employee_Salary'!$A$1:A90,' Employee_Salary'!$B$1:B90,FALSE)</f>
        <v>40000</v>
      </c>
      <c r="N86" s="9">
        <f>M86/H86</f>
        <v>2.3957834211787254</v>
      </c>
      <c r="O86" s="9">
        <f>IF(D86="Electronics",H86*5%,IF(D86="Furniture",H86*8%,0))</f>
        <v>1335.68</v>
      </c>
      <c r="P86">
        <f>_xlfn.RANK.EQ(H86,$H$2:$H$201,0)</f>
        <v>100</v>
      </c>
      <c r="Q86">
        <f>SUMIFS($H$2:$H$201,$B$2:$B$201,"&lt;="&amp;B86)</f>
        <v>1589196</v>
      </c>
    </row>
    <row r="87" spans="1:17" x14ac:dyDescent="0.35">
      <c r="A87">
        <v>86</v>
      </c>
      <c r="B87" s="1">
        <v>45700</v>
      </c>
      <c r="C87" t="s">
        <v>9</v>
      </c>
      <c r="D87" t="s">
        <v>18</v>
      </c>
      <c r="E87" t="s">
        <v>32</v>
      </c>
      <c r="F87" t="s">
        <v>49</v>
      </c>
      <c r="G87" t="s">
        <v>13</v>
      </c>
      <c r="H87">
        <v>16152</v>
      </c>
      <c r="I87">
        <v>13688</v>
      </c>
      <c r="J87">
        <f>H87-I87</f>
        <v>2464</v>
      </c>
      <c r="K87" s="6">
        <f>J87/H87</f>
        <v>0.15255076770678555</v>
      </c>
      <c r="L87" t="str">
        <f t="array" ref="L87">_xlfn.IFS(J87&gt;15000,"Excellent",J87&gt;=5000,"Good",J87&lt;5000,"Poor")</f>
        <v>Poor</v>
      </c>
      <c r="M87">
        <f t="array" ref="M87">_xlfn.XLOOKUP(G87,' Employee_Salary'!$A$1:A91,' Employee_Salary'!$B$1:B91,FALSE)</f>
        <v>47000</v>
      </c>
      <c r="N87" s="9">
        <f>M87/H87</f>
        <v>2.9098563645368993</v>
      </c>
      <c r="O87" s="9">
        <f>IF(D87="Electronics",H87*5%,IF(D87="Furniture",H87*8%,0))</f>
        <v>807.6</v>
      </c>
      <c r="P87">
        <f>_xlfn.RANK.EQ(H87,$H$2:$H$201,0)</f>
        <v>105</v>
      </c>
      <c r="Q87">
        <f>SUMIFS($H$2:$H$201,$B$2:$B$201,"&lt;="&amp;B87)</f>
        <v>2334388</v>
      </c>
    </row>
    <row r="88" spans="1:17" x14ac:dyDescent="0.35">
      <c r="A88">
        <v>87</v>
      </c>
      <c r="B88" s="1">
        <v>45705</v>
      </c>
      <c r="C88" t="s">
        <v>9</v>
      </c>
      <c r="D88" t="s">
        <v>18</v>
      </c>
      <c r="E88" t="s">
        <v>32</v>
      </c>
      <c r="F88" t="s">
        <v>50</v>
      </c>
      <c r="G88" t="s">
        <v>35</v>
      </c>
      <c r="H88">
        <v>23879</v>
      </c>
      <c r="I88">
        <v>16308</v>
      </c>
      <c r="J88">
        <f>H88-I88</f>
        <v>7571</v>
      </c>
      <c r="K88" s="6">
        <f>J88/H88</f>
        <v>0.31705682817538422</v>
      </c>
      <c r="L88" t="str">
        <f t="array" ref="L88">_xlfn.IFS(J88&gt;15000,"Excellent",J88&gt;=5000,"Good",J88&lt;5000,"Poor")</f>
        <v>Good</v>
      </c>
      <c r="M88">
        <f t="array" ref="M88">_xlfn.XLOOKUP(G88,' Employee_Salary'!$A$1:A92,' Employee_Salary'!$B$1:B92,FALSE)</f>
        <v>40000</v>
      </c>
      <c r="N88" s="9">
        <f>M88/H88</f>
        <v>1.6751120231165459</v>
      </c>
      <c r="O88" s="9">
        <f>IF(D88="Electronics",H88*5%,IF(D88="Furniture",H88*8%,0))</f>
        <v>1193.95</v>
      </c>
      <c r="P88">
        <f>_xlfn.RANK.EQ(H88,$H$2:$H$201,0)</f>
        <v>37</v>
      </c>
      <c r="Q88">
        <f>SUMIFS($H$2:$H$201,$B$2:$B$201,"&lt;="&amp;B88)</f>
        <v>2691046</v>
      </c>
    </row>
    <row r="89" spans="1:17" x14ac:dyDescent="0.35">
      <c r="A89">
        <v>88</v>
      </c>
      <c r="B89" s="1">
        <v>45710</v>
      </c>
      <c r="C89" t="s">
        <v>14</v>
      </c>
      <c r="D89" t="s">
        <v>10</v>
      </c>
      <c r="E89" t="s">
        <v>21</v>
      </c>
      <c r="F89" t="s">
        <v>54</v>
      </c>
      <c r="G89" t="s">
        <v>28</v>
      </c>
      <c r="H89">
        <v>19812</v>
      </c>
      <c r="I89">
        <v>15108</v>
      </c>
      <c r="J89">
        <f>H89-I89</f>
        <v>4704</v>
      </c>
      <c r="K89" s="6">
        <f>J89/H89</f>
        <v>0.23743185947910359</v>
      </c>
      <c r="L89" t="str">
        <f t="array" ref="L89">_xlfn.IFS(J89&gt;15000,"Excellent",J89&gt;=5000,"Good",J89&lt;5000,"Poor")</f>
        <v>Poor</v>
      </c>
      <c r="M89">
        <f t="array" ref="M89">_xlfn.XLOOKUP(G89,' Employee_Salary'!$A$1:A93,' Employee_Salary'!$B$1:B93,FALSE)</f>
        <v>45000</v>
      </c>
      <c r="N89" s="9">
        <f>M89/H89</f>
        <v>2.2713506965475467</v>
      </c>
      <c r="O89" s="9">
        <f>IF(D89="Electronics",H89*5%,IF(D89="Furniture",H89*8%,0))</f>
        <v>1584.96</v>
      </c>
      <c r="P89">
        <f>_xlfn.RANK.EQ(H89,$H$2:$H$201,0)</f>
        <v>67</v>
      </c>
      <c r="Q89">
        <f>SUMIFS($H$2:$H$201,$B$2:$B$201,"&lt;="&amp;B89)</f>
        <v>2944836</v>
      </c>
    </row>
    <row r="90" spans="1:17" x14ac:dyDescent="0.35">
      <c r="A90">
        <v>89</v>
      </c>
      <c r="B90" s="1">
        <v>45694</v>
      </c>
      <c r="C90" t="s">
        <v>37</v>
      </c>
      <c r="D90" t="s">
        <v>10</v>
      </c>
      <c r="E90" t="s">
        <v>11</v>
      </c>
      <c r="F90" t="s">
        <v>40</v>
      </c>
      <c r="G90" t="s">
        <v>35</v>
      </c>
      <c r="H90">
        <v>28689</v>
      </c>
      <c r="I90">
        <v>23198</v>
      </c>
      <c r="J90">
        <f>H90-I90</f>
        <v>5491</v>
      </c>
      <c r="K90" s="6">
        <f>J90/H90</f>
        <v>0.19139739970023353</v>
      </c>
      <c r="L90" t="str">
        <f t="array" ref="L90">_xlfn.IFS(J90&gt;15000,"Excellent",J90&gt;=5000,"Good",J90&lt;5000,"Poor")</f>
        <v>Good</v>
      </c>
      <c r="M90">
        <f t="array" ref="M90">_xlfn.XLOOKUP(G90,' Employee_Salary'!$A$1:A94,' Employee_Salary'!$B$1:B94,FALSE)</f>
        <v>40000</v>
      </c>
      <c r="N90" s="9">
        <f>M90/H90</f>
        <v>1.3942626093624735</v>
      </c>
      <c r="O90" s="9">
        <f>IF(D90="Electronics",H90*5%,IF(D90="Furniture",H90*8%,0))</f>
        <v>2295.12</v>
      </c>
      <c r="P90">
        <f>_xlfn.RANK.EQ(H90,$H$2:$H$201,0)</f>
        <v>7</v>
      </c>
      <c r="Q90">
        <f>SUMIFS($H$2:$H$201,$B$2:$B$201,"&lt;="&amp;B90)</f>
        <v>1993799</v>
      </c>
    </row>
    <row r="91" spans="1:17" x14ac:dyDescent="0.35">
      <c r="A91">
        <v>90</v>
      </c>
      <c r="B91" s="1">
        <v>45717</v>
      </c>
      <c r="C91" t="s">
        <v>17</v>
      </c>
      <c r="D91" t="s">
        <v>10</v>
      </c>
      <c r="E91" t="s">
        <v>42</v>
      </c>
      <c r="F91" t="s">
        <v>66</v>
      </c>
      <c r="G91" t="s">
        <v>13</v>
      </c>
      <c r="H91">
        <v>22720</v>
      </c>
      <c r="I91">
        <v>16964</v>
      </c>
      <c r="J91">
        <f>H91-I91</f>
        <v>5756</v>
      </c>
      <c r="K91" s="6">
        <f>J91/H91</f>
        <v>0.25334507042253523</v>
      </c>
      <c r="L91" t="str">
        <f t="array" ref="L91">_xlfn.IFS(J91&gt;15000,"Excellent",J91&gt;=5000,"Good",J91&lt;5000,"Poor")</f>
        <v>Good</v>
      </c>
      <c r="M91">
        <f t="array" ref="M91">_xlfn.XLOOKUP(G91,' Employee_Salary'!$A$1:A95,' Employee_Salary'!$B$1:B95,FALSE)</f>
        <v>47000</v>
      </c>
      <c r="N91" s="9">
        <f>M91/H91</f>
        <v>2.068661971830986</v>
      </c>
      <c r="O91" s="9">
        <f>IF(D91="Electronics",H91*5%,IF(D91="Furniture",H91*8%,0))</f>
        <v>1817.6000000000001</v>
      </c>
      <c r="P91">
        <f>_xlfn.RANK.EQ(H91,$H$2:$H$201,0)</f>
        <v>46</v>
      </c>
      <c r="Q91">
        <f>SUMIFS($H$2:$H$201,$B$2:$B$201,"&lt;="&amp;B91)</f>
        <v>3235200</v>
      </c>
    </row>
    <row r="92" spans="1:17" x14ac:dyDescent="0.35">
      <c r="A92">
        <v>91</v>
      </c>
      <c r="B92" s="1">
        <v>45705</v>
      </c>
      <c r="C92" t="s">
        <v>17</v>
      </c>
      <c r="D92" t="s">
        <v>18</v>
      </c>
      <c r="E92" t="s">
        <v>19</v>
      </c>
      <c r="F92" t="s">
        <v>16</v>
      </c>
      <c r="G92" t="s">
        <v>28</v>
      </c>
      <c r="H92">
        <v>21070</v>
      </c>
      <c r="I92">
        <v>14232</v>
      </c>
      <c r="J92">
        <f>H92-I92</f>
        <v>6838</v>
      </c>
      <c r="K92" s="6">
        <f>J92/H92</f>
        <v>0.32453725676317041</v>
      </c>
      <c r="L92" t="str">
        <f t="array" ref="L92">_xlfn.IFS(J92&gt;15000,"Excellent",J92&gt;=5000,"Good",J92&lt;5000,"Poor")</f>
        <v>Good</v>
      </c>
      <c r="M92">
        <f t="array" ref="M92">_xlfn.XLOOKUP(G92,' Employee_Salary'!$A$1:A96,' Employee_Salary'!$B$1:B96,FALSE)</f>
        <v>45000</v>
      </c>
      <c r="N92" s="9">
        <f>M92/H92</f>
        <v>2.135738016136687</v>
      </c>
      <c r="O92" s="9">
        <f>IF(D92="Electronics",H92*5%,IF(D92="Furniture",H92*8%,0))</f>
        <v>1053.5</v>
      </c>
      <c r="P92">
        <f>_xlfn.RANK.EQ(H92,$H$2:$H$201,0)</f>
        <v>61</v>
      </c>
      <c r="Q92">
        <f>SUMIFS($H$2:$H$201,$B$2:$B$201,"&lt;="&amp;B92)</f>
        <v>2691046</v>
      </c>
    </row>
    <row r="93" spans="1:17" x14ac:dyDescent="0.35">
      <c r="A93">
        <v>92</v>
      </c>
      <c r="B93" s="1">
        <v>45677</v>
      </c>
      <c r="C93" t="s">
        <v>37</v>
      </c>
      <c r="D93" t="s">
        <v>10</v>
      </c>
      <c r="E93" t="s">
        <v>42</v>
      </c>
      <c r="F93" t="s">
        <v>61</v>
      </c>
      <c r="G93" t="s">
        <v>33</v>
      </c>
      <c r="H93">
        <v>5006</v>
      </c>
      <c r="I93">
        <v>3123</v>
      </c>
      <c r="J93">
        <f>H93-I93</f>
        <v>1883</v>
      </c>
      <c r="K93" s="6">
        <f>J93/H93</f>
        <v>0.37614862165401519</v>
      </c>
      <c r="L93" t="str">
        <f t="array" ref="L93">_xlfn.IFS(J93&gt;15000,"Excellent",J93&gt;=5000,"Good",J93&lt;5000,"Poor")</f>
        <v>Poor</v>
      </c>
      <c r="M93">
        <f t="array" ref="M93">_xlfn.XLOOKUP(G93,' Employee_Salary'!$A$1:A97,' Employee_Salary'!$B$1:B97,FALSE)</f>
        <v>42000</v>
      </c>
      <c r="N93" s="9">
        <f>M93/H93</f>
        <v>8.3899320815021969</v>
      </c>
      <c r="O93" s="9">
        <f>IF(D93="Electronics",H93*5%,IF(D93="Furniture",H93*8%,0))</f>
        <v>400.48</v>
      </c>
      <c r="P93">
        <f>_xlfn.RANK.EQ(H93,$H$2:$H$201,0)</f>
        <v>185</v>
      </c>
      <c r="Q93">
        <f>SUMIFS($H$2:$H$201,$B$2:$B$201,"&lt;="&amp;B93)</f>
        <v>1137341</v>
      </c>
    </row>
    <row r="94" spans="1:17" x14ac:dyDescent="0.35">
      <c r="A94">
        <v>93</v>
      </c>
      <c r="B94" s="1">
        <v>45715</v>
      </c>
      <c r="C94" t="s">
        <v>17</v>
      </c>
      <c r="D94" t="s">
        <v>10</v>
      </c>
      <c r="E94" t="s">
        <v>11</v>
      </c>
      <c r="F94" t="s">
        <v>67</v>
      </c>
      <c r="G94" t="s">
        <v>33</v>
      </c>
      <c r="H94">
        <v>3008</v>
      </c>
      <c r="I94">
        <v>2561</v>
      </c>
      <c r="J94">
        <f>H94-I94</f>
        <v>447</v>
      </c>
      <c r="K94" s="6">
        <f>J94/H94</f>
        <v>0.14860372340425532</v>
      </c>
      <c r="L94" t="str">
        <f t="array" ref="L94">_xlfn.IFS(J94&gt;15000,"Excellent",J94&gt;=5000,"Good",J94&lt;5000,"Poor")</f>
        <v>Poor</v>
      </c>
      <c r="M94">
        <f t="array" ref="M94">_xlfn.XLOOKUP(G94,' Employee_Salary'!$A$1:A98,' Employee_Salary'!$B$1:B98,FALSE)</f>
        <v>42000</v>
      </c>
      <c r="N94" s="9">
        <f>M94/H94</f>
        <v>13.962765957446809</v>
      </c>
      <c r="O94" s="9">
        <f>IF(D94="Electronics",H94*5%,IF(D94="Furniture",H94*8%,0))</f>
        <v>240.64000000000001</v>
      </c>
      <c r="P94">
        <f>_xlfn.RANK.EQ(H94,$H$2:$H$201,0)</f>
        <v>199</v>
      </c>
      <c r="Q94">
        <f>SUMIFS($H$2:$H$201,$B$2:$B$201,"&lt;="&amp;B94)</f>
        <v>3099884</v>
      </c>
    </row>
    <row r="95" spans="1:17" x14ac:dyDescent="0.35">
      <c r="A95">
        <v>94</v>
      </c>
      <c r="B95" s="1">
        <v>45670</v>
      </c>
      <c r="C95" t="s">
        <v>17</v>
      </c>
      <c r="D95" t="s">
        <v>18</v>
      </c>
      <c r="E95" t="s">
        <v>29</v>
      </c>
      <c r="F95" t="s">
        <v>68</v>
      </c>
      <c r="G95" t="s">
        <v>23</v>
      </c>
      <c r="H95">
        <v>16731</v>
      </c>
      <c r="I95">
        <v>11214</v>
      </c>
      <c r="J95">
        <f>H95-I95</f>
        <v>5517</v>
      </c>
      <c r="K95" s="6">
        <f>J95/H95</f>
        <v>0.32974717590102204</v>
      </c>
      <c r="L95" t="str">
        <f t="array" ref="L95">_xlfn.IFS(J95&gt;15000,"Excellent",J95&gt;=5000,"Good",J95&lt;5000,"Poor")</f>
        <v>Good</v>
      </c>
      <c r="M95">
        <f t="array" ref="M95">_xlfn.XLOOKUP(G95,' Employee_Salary'!$A$1:A99,' Employee_Salary'!$B$1:B99,FALSE)</f>
        <v>43000</v>
      </c>
      <c r="N95" s="9">
        <f>M95/H95</f>
        <v>2.5700794931564164</v>
      </c>
      <c r="O95" s="9">
        <f>IF(D95="Electronics",H95*5%,IF(D95="Furniture",H95*8%,0))</f>
        <v>836.55000000000007</v>
      </c>
      <c r="P95">
        <f>_xlfn.RANK.EQ(H95,$H$2:$H$201,0)</f>
        <v>99</v>
      </c>
      <c r="Q95">
        <f>SUMIFS($H$2:$H$201,$B$2:$B$201,"&lt;="&amp;B95)</f>
        <v>757644</v>
      </c>
    </row>
    <row r="96" spans="1:17" x14ac:dyDescent="0.35">
      <c r="A96">
        <v>95</v>
      </c>
      <c r="B96" s="1">
        <v>45716</v>
      </c>
      <c r="C96" t="s">
        <v>37</v>
      </c>
      <c r="D96" t="s">
        <v>10</v>
      </c>
      <c r="E96" t="s">
        <v>42</v>
      </c>
      <c r="F96" t="s">
        <v>68</v>
      </c>
      <c r="G96" t="s">
        <v>33</v>
      </c>
      <c r="H96">
        <v>25721</v>
      </c>
      <c r="I96">
        <v>20828</v>
      </c>
      <c r="J96">
        <f>H96-I96</f>
        <v>4893</v>
      </c>
      <c r="K96" s="6">
        <f>J96/H96</f>
        <v>0.19023366121068389</v>
      </c>
      <c r="L96" t="str">
        <f t="array" ref="L96">_xlfn.IFS(J96&gt;15000,"Excellent",J96&gt;=5000,"Good",J96&lt;5000,"Poor")</f>
        <v>Poor</v>
      </c>
      <c r="M96">
        <f t="array" ref="M96">_xlfn.XLOOKUP(G96,' Employee_Salary'!$A$1:A100,' Employee_Salary'!$B$1:B100,FALSE)</f>
        <v>42000</v>
      </c>
      <c r="N96" s="9">
        <f>M96/H96</f>
        <v>1.6329069631818358</v>
      </c>
      <c r="O96" s="9">
        <f>IF(D96="Electronics",H96*5%,IF(D96="Furniture",H96*8%,0))</f>
        <v>2057.6799999999998</v>
      </c>
      <c r="P96">
        <f>_xlfn.RANK.EQ(H96,$H$2:$H$201,0)</f>
        <v>28</v>
      </c>
      <c r="Q96">
        <f>SUMIFS($H$2:$H$201,$B$2:$B$201,"&lt;="&amp;B96)</f>
        <v>3147890</v>
      </c>
    </row>
    <row r="97" spans="1:17" x14ac:dyDescent="0.35">
      <c r="A97">
        <v>96</v>
      </c>
      <c r="B97" s="1">
        <v>45685</v>
      </c>
      <c r="C97" t="s">
        <v>17</v>
      </c>
      <c r="D97" t="s">
        <v>18</v>
      </c>
      <c r="E97" t="s">
        <v>26</v>
      </c>
      <c r="F97" t="s">
        <v>44</v>
      </c>
      <c r="G97" t="s">
        <v>33</v>
      </c>
      <c r="H97">
        <v>12746</v>
      </c>
      <c r="I97">
        <v>9105</v>
      </c>
      <c r="J97">
        <f>H97-I97</f>
        <v>3641</v>
      </c>
      <c r="K97" s="6">
        <f>J97/H97</f>
        <v>0.28565824572414877</v>
      </c>
      <c r="L97" t="str">
        <f t="array" ref="L97">_xlfn.IFS(J97&gt;15000,"Excellent",J97&gt;=5000,"Good",J97&lt;5000,"Poor")</f>
        <v>Poor</v>
      </c>
      <c r="M97">
        <f t="array" ref="M97">_xlfn.XLOOKUP(G97,' Employee_Salary'!$A$1:A101,' Employee_Salary'!$B$1:B101,FALSE)</f>
        <v>42000</v>
      </c>
      <c r="N97" s="9">
        <f>M97/H97</f>
        <v>3.29515142005335</v>
      </c>
      <c r="O97" s="9">
        <f>IF(D97="Electronics",H97*5%,IF(D97="Furniture",H97*8%,0))</f>
        <v>637.30000000000007</v>
      </c>
      <c r="P97">
        <f>_xlfn.RANK.EQ(H97,$H$2:$H$201,0)</f>
        <v>129</v>
      </c>
      <c r="Q97">
        <f>SUMIFS($H$2:$H$201,$B$2:$B$201,"&lt;="&amp;B97)</f>
        <v>1648974</v>
      </c>
    </row>
    <row r="98" spans="1:17" x14ac:dyDescent="0.35">
      <c r="A98">
        <v>97</v>
      </c>
      <c r="B98" s="1">
        <v>45669</v>
      </c>
      <c r="C98" t="s">
        <v>17</v>
      </c>
      <c r="D98" t="s">
        <v>10</v>
      </c>
      <c r="E98" t="s">
        <v>11</v>
      </c>
      <c r="F98" t="s">
        <v>69</v>
      </c>
      <c r="G98" t="s">
        <v>23</v>
      </c>
      <c r="H98">
        <v>17130</v>
      </c>
      <c r="I98">
        <v>12065</v>
      </c>
      <c r="J98">
        <f>H98-I98</f>
        <v>5065</v>
      </c>
      <c r="K98" s="6">
        <f>J98/H98</f>
        <v>0.29568009340338586</v>
      </c>
      <c r="L98" t="str">
        <f t="array" ref="L98">_xlfn.IFS(J98&gt;15000,"Excellent",J98&gt;=5000,"Good",J98&lt;5000,"Poor")</f>
        <v>Good</v>
      </c>
      <c r="M98">
        <f t="array" ref="M98">_xlfn.XLOOKUP(G98,' Employee_Salary'!$A$1:A102,' Employee_Salary'!$B$1:B102,FALSE)</f>
        <v>43000</v>
      </c>
      <c r="N98" s="9">
        <f>M98/H98</f>
        <v>2.5102159953298306</v>
      </c>
      <c r="O98" s="9">
        <f>IF(D98="Electronics",H98*5%,IF(D98="Furniture",H98*8%,0))</f>
        <v>1370.4</v>
      </c>
      <c r="P98">
        <f>_xlfn.RANK.EQ(H98,$H$2:$H$201,0)</f>
        <v>94</v>
      </c>
      <c r="Q98">
        <f>SUMIFS($H$2:$H$201,$B$2:$B$201,"&lt;="&amp;B98)</f>
        <v>665652</v>
      </c>
    </row>
    <row r="99" spans="1:17" x14ac:dyDescent="0.35">
      <c r="A99">
        <v>98</v>
      </c>
      <c r="B99" s="1">
        <v>45707</v>
      </c>
      <c r="C99" t="s">
        <v>37</v>
      </c>
      <c r="D99" t="s">
        <v>10</v>
      </c>
      <c r="E99" t="s">
        <v>42</v>
      </c>
      <c r="F99" t="s">
        <v>52</v>
      </c>
      <c r="G99" t="s">
        <v>33</v>
      </c>
      <c r="H99">
        <v>19263</v>
      </c>
      <c r="I99">
        <v>13395</v>
      </c>
      <c r="J99">
        <f>H99-I99</f>
        <v>5868</v>
      </c>
      <c r="K99" s="6">
        <f>J99/H99</f>
        <v>0.30462544774957173</v>
      </c>
      <c r="L99" t="str">
        <f t="array" ref="L99">_xlfn.IFS(J99&gt;15000,"Excellent",J99&gt;=5000,"Good",J99&lt;5000,"Poor")</f>
        <v>Good</v>
      </c>
      <c r="M99">
        <f t="array" ref="M99">_xlfn.XLOOKUP(G99,' Employee_Salary'!$A$1:A103,' Employee_Salary'!$B$1:B103,FALSE)</f>
        <v>42000</v>
      </c>
      <c r="N99" s="9">
        <f>M99/H99</f>
        <v>2.1803457405388569</v>
      </c>
      <c r="O99" s="9">
        <f>IF(D99="Electronics",H99*5%,IF(D99="Furniture",H99*8%,0))</f>
        <v>1541.04</v>
      </c>
      <c r="P99">
        <f>_xlfn.RANK.EQ(H99,$H$2:$H$201,0)</f>
        <v>74</v>
      </c>
      <c r="Q99">
        <f>SUMIFS($H$2:$H$201,$B$2:$B$201,"&lt;="&amp;B99)</f>
        <v>2808628</v>
      </c>
    </row>
    <row r="100" spans="1:17" x14ac:dyDescent="0.35">
      <c r="A100">
        <v>99</v>
      </c>
      <c r="B100" s="1">
        <v>45710</v>
      </c>
      <c r="C100" t="s">
        <v>37</v>
      </c>
      <c r="D100" t="s">
        <v>18</v>
      </c>
      <c r="E100" t="s">
        <v>32</v>
      </c>
      <c r="F100" t="s">
        <v>70</v>
      </c>
      <c r="G100" t="s">
        <v>28</v>
      </c>
      <c r="H100">
        <v>19662</v>
      </c>
      <c r="I100">
        <v>14327</v>
      </c>
      <c r="J100">
        <f>H100-I100</f>
        <v>5335</v>
      </c>
      <c r="K100" s="6">
        <f>J100/H100</f>
        <v>0.27133557115247686</v>
      </c>
      <c r="L100" t="str">
        <f t="array" ref="L100">_xlfn.IFS(J100&gt;15000,"Excellent",J100&gt;=5000,"Good",J100&lt;5000,"Poor")</f>
        <v>Good</v>
      </c>
      <c r="M100">
        <f t="array" ref="M100">_xlfn.XLOOKUP(G100,' Employee_Salary'!$A$1:A104,' Employee_Salary'!$B$1:B104,FALSE)</f>
        <v>45000</v>
      </c>
      <c r="N100" s="9">
        <f>M100/H100</f>
        <v>2.2886786695148</v>
      </c>
      <c r="O100" s="9">
        <f>IF(D100="Electronics",H100*5%,IF(D100="Furniture",H100*8%,0))</f>
        <v>983.1</v>
      </c>
      <c r="P100">
        <f>_xlfn.RANK.EQ(H100,$H$2:$H$201,0)</f>
        <v>69</v>
      </c>
      <c r="Q100">
        <f>SUMIFS($H$2:$H$201,$B$2:$B$201,"&lt;="&amp;B100)</f>
        <v>2944836</v>
      </c>
    </row>
    <row r="101" spans="1:17" x14ac:dyDescent="0.35">
      <c r="A101">
        <v>100</v>
      </c>
      <c r="B101" s="1">
        <v>45709</v>
      </c>
      <c r="C101" t="s">
        <v>17</v>
      </c>
      <c r="D101" t="s">
        <v>10</v>
      </c>
      <c r="E101" t="s">
        <v>21</v>
      </c>
      <c r="F101" t="s">
        <v>47</v>
      </c>
      <c r="G101" t="s">
        <v>28</v>
      </c>
      <c r="H101">
        <v>25528</v>
      </c>
      <c r="I101">
        <v>22200</v>
      </c>
      <c r="J101">
        <f>H101-I101</f>
        <v>3328</v>
      </c>
      <c r="K101" s="6">
        <f>J101/H101</f>
        <v>0.13036665622062049</v>
      </c>
      <c r="L101" t="str">
        <f t="array" ref="L101">_xlfn.IFS(J101&gt;15000,"Excellent",J101&gt;=5000,"Good",J101&lt;5000,"Poor")</f>
        <v>Poor</v>
      </c>
      <c r="M101">
        <f t="array" ref="M101">_xlfn.XLOOKUP(G101,' Employee_Salary'!$A$1:A105,' Employee_Salary'!$B$1:B105,FALSE)</f>
        <v>45000</v>
      </c>
      <c r="N101" s="9">
        <f>M101/H101</f>
        <v>1.7627702914446881</v>
      </c>
      <c r="O101" s="9">
        <f>IF(D101="Electronics",H101*5%,IF(D101="Furniture",H101*8%,0))</f>
        <v>2042.24</v>
      </c>
      <c r="P101">
        <f>_xlfn.RANK.EQ(H101,$H$2:$H$201,0)</f>
        <v>29</v>
      </c>
      <c r="Q101">
        <f>SUMIFS($H$2:$H$201,$B$2:$B$201,"&lt;="&amp;B101)</f>
        <v>2860992</v>
      </c>
    </row>
    <row r="102" spans="1:17" x14ac:dyDescent="0.35">
      <c r="A102">
        <v>101</v>
      </c>
      <c r="B102" s="1">
        <v>45694</v>
      </c>
      <c r="C102" t="s">
        <v>9</v>
      </c>
      <c r="D102" t="s">
        <v>10</v>
      </c>
      <c r="E102" t="s">
        <v>42</v>
      </c>
      <c r="F102" t="s">
        <v>68</v>
      </c>
      <c r="G102" t="s">
        <v>35</v>
      </c>
      <c r="H102">
        <v>5348</v>
      </c>
      <c r="I102">
        <v>3731</v>
      </c>
      <c r="J102">
        <f>H102-I102</f>
        <v>1617</v>
      </c>
      <c r="K102" s="6">
        <f>J102/H102</f>
        <v>0.30235602094240838</v>
      </c>
      <c r="L102" t="str">
        <f t="array" ref="L102">_xlfn.IFS(J102&gt;15000,"Excellent",J102&gt;=5000,"Good",J102&lt;5000,"Poor")</f>
        <v>Poor</v>
      </c>
      <c r="M102">
        <f t="array" ref="M102">_xlfn.XLOOKUP(G102,' Employee_Salary'!$A$1:A106,' Employee_Salary'!$B$1:B106,FALSE)</f>
        <v>40000</v>
      </c>
      <c r="N102" s="9">
        <f>M102/H102</f>
        <v>7.4794315632011967</v>
      </c>
      <c r="O102" s="9">
        <f>IF(D102="Electronics",H102*5%,IF(D102="Furniture",H102*8%,0))</f>
        <v>427.84000000000003</v>
      </c>
      <c r="P102">
        <f>_xlfn.RANK.EQ(H102,$H$2:$H$201,0)</f>
        <v>180</v>
      </c>
      <c r="Q102">
        <f>SUMIFS($H$2:$H$201,$B$2:$B$201,"&lt;="&amp;B102)</f>
        <v>1993799</v>
      </c>
    </row>
    <row r="103" spans="1:17" x14ac:dyDescent="0.35">
      <c r="A103">
        <v>102</v>
      </c>
      <c r="B103" s="1">
        <v>45716</v>
      </c>
      <c r="C103" t="s">
        <v>37</v>
      </c>
      <c r="D103" t="s">
        <v>18</v>
      </c>
      <c r="E103" t="s">
        <v>32</v>
      </c>
      <c r="F103" t="s">
        <v>51</v>
      </c>
      <c r="G103" t="s">
        <v>35</v>
      </c>
      <c r="H103">
        <v>22285</v>
      </c>
      <c r="I103">
        <v>14394</v>
      </c>
      <c r="J103">
        <f>H103-I103</f>
        <v>7891</v>
      </c>
      <c r="K103" s="6">
        <f>J103/H103</f>
        <v>0.3540946825218757</v>
      </c>
      <c r="L103" t="str">
        <f t="array" ref="L103">_xlfn.IFS(J103&gt;15000,"Excellent",J103&gt;=5000,"Good",J103&lt;5000,"Poor")</f>
        <v>Good</v>
      </c>
      <c r="M103">
        <f t="array" ref="M103">_xlfn.XLOOKUP(G103,' Employee_Salary'!$A$1:A107,' Employee_Salary'!$B$1:B107,FALSE)</f>
        <v>40000</v>
      </c>
      <c r="N103" s="9">
        <f>M103/H103</f>
        <v>1.7949293246578415</v>
      </c>
      <c r="O103" s="9">
        <f>IF(D103="Electronics",H103*5%,IF(D103="Furniture",H103*8%,0))</f>
        <v>1114.25</v>
      </c>
      <c r="P103">
        <f>_xlfn.RANK.EQ(H103,$H$2:$H$201,0)</f>
        <v>52</v>
      </c>
      <c r="Q103">
        <f>SUMIFS($H$2:$H$201,$B$2:$B$201,"&lt;="&amp;B103)</f>
        <v>3147890</v>
      </c>
    </row>
    <row r="104" spans="1:17" x14ac:dyDescent="0.35">
      <c r="A104">
        <v>103</v>
      </c>
      <c r="B104" s="1">
        <v>45661</v>
      </c>
      <c r="C104" t="s">
        <v>17</v>
      </c>
      <c r="D104" t="s">
        <v>10</v>
      </c>
      <c r="E104" t="s">
        <v>11</v>
      </c>
      <c r="F104" t="s">
        <v>71</v>
      </c>
      <c r="G104" t="s">
        <v>33</v>
      </c>
      <c r="H104">
        <v>17832</v>
      </c>
      <c r="I104">
        <v>14995</v>
      </c>
      <c r="J104">
        <f>H104-I104</f>
        <v>2837</v>
      </c>
      <c r="K104" s="6">
        <f>J104/H104</f>
        <v>0.15909600717810676</v>
      </c>
      <c r="L104" t="str">
        <f t="array" ref="L104">_xlfn.IFS(J104&gt;15000,"Excellent",J104&gt;=5000,"Good",J104&lt;5000,"Poor")</f>
        <v>Poor</v>
      </c>
      <c r="M104">
        <f t="array" ref="M104">_xlfn.XLOOKUP(G104,' Employee_Salary'!$A$1:A108,' Employee_Salary'!$B$1:B108,FALSE)</f>
        <v>42000</v>
      </c>
      <c r="N104" s="9">
        <f>M104/H104</f>
        <v>2.3553162853297445</v>
      </c>
      <c r="O104" s="9">
        <f>IF(D104="Electronics",H104*5%,IF(D104="Furniture",H104*8%,0))</f>
        <v>1426.56</v>
      </c>
      <c r="P104">
        <f>_xlfn.RANK.EQ(H104,$H$2:$H$201,0)</f>
        <v>84</v>
      </c>
      <c r="Q104">
        <f>SUMIFS($H$2:$H$201,$B$2:$B$201,"&lt;="&amp;B104)</f>
        <v>165400</v>
      </c>
    </row>
    <row r="105" spans="1:17" x14ac:dyDescent="0.35">
      <c r="A105">
        <v>104</v>
      </c>
      <c r="B105" s="1">
        <v>45708</v>
      </c>
      <c r="C105" t="s">
        <v>17</v>
      </c>
      <c r="D105" t="s">
        <v>18</v>
      </c>
      <c r="E105" t="s">
        <v>32</v>
      </c>
      <c r="F105" t="s">
        <v>55</v>
      </c>
      <c r="G105" t="s">
        <v>23</v>
      </c>
      <c r="H105">
        <v>18659</v>
      </c>
      <c r="I105">
        <v>11399</v>
      </c>
      <c r="J105">
        <f>H105-I105</f>
        <v>7260</v>
      </c>
      <c r="K105" s="6">
        <f>J105/H105</f>
        <v>0.38908837558282866</v>
      </c>
      <c r="L105" t="str">
        <f t="array" ref="L105">_xlfn.IFS(J105&gt;15000,"Excellent",J105&gt;=5000,"Good",J105&lt;5000,"Poor")</f>
        <v>Good</v>
      </c>
      <c r="M105">
        <f t="array" ref="M105">_xlfn.XLOOKUP(G105,' Employee_Salary'!$A$1:A109,' Employee_Salary'!$B$1:B109,FALSE)</f>
        <v>43000</v>
      </c>
      <c r="N105" s="9">
        <f>M105/H105</f>
        <v>2.3045179270057345</v>
      </c>
      <c r="O105" s="9">
        <f>IF(D105="Electronics",H105*5%,IF(D105="Furniture",H105*8%,0))</f>
        <v>932.95</v>
      </c>
      <c r="P105">
        <f>_xlfn.RANK.EQ(H105,$H$2:$H$201,0)</f>
        <v>76</v>
      </c>
      <c r="Q105">
        <f>SUMIFS($H$2:$H$201,$B$2:$B$201,"&lt;="&amp;B105)</f>
        <v>2827287</v>
      </c>
    </row>
    <row r="106" spans="1:17" x14ac:dyDescent="0.35">
      <c r="A106">
        <v>105</v>
      </c>
      <c r="B106" s="1">
        <v>45680</v>
      </c>
      <c r="C106" t="s">
        <v>17</v>
      </c>
      <c r="D106" t="s">
        <v>10</v>
      </c>
      <c r="E106" t="s">
        <v>15</v>
      </c>
      <c r="F106" t="s">
        <v>36</v>
      </c>
      <c r="G106" t="s">
        <v>23</v>
      </c>
      <c r="H106">
        <v>8814</v>
      </c>
      <c r="I106">
        <v>7395</v>
      </c>
      <c r="J106">
        <f>H106-I106</f>
        <v>1419</v>
      </c>
      <c r="K106" s="6">
        <f>J106/H106</f>
        <v>0.16099387338325391</v>
      </c>
      <c r="L106" t="str">
        <f t="array" ref="L106">_xlfn.IFS(J106&gt;15000,"Excellent",J106&gt;=5000,"Good",J106&lt;5000,"Poor")</f>
        <v>Poor</v>
      </c>
      <c r="M106">
        <f t="array" ref="M106">_xlfn.XLOOKUP(G106,' Employee_Salary'!$A$1:A110,' Employee_Salary'!$B$1:B110,FALSE)</f>
        <v>43000</v>
      </c>
      <c r="N106" s="9">
        <f>M106/H106</f>
        <v>4.8786022237349673</v>
      </c>
      <c r="O106" s="9">
        <f>IF(D106="Electronics",H106*5%,IF(D106="Furniture",H106*8%,0))</f>
        <v>705.12</v>
      </c>
      <c r="P106">
        <f>_xlfn.RANK.EQ(H106,$H$2:$H$201,0)</f>
        <v>158</v>
      </c>
      <c r="Q106">
        <f>SUMIFS($H$2:$H$201,$B$2:$B$201,"&lt;="&amp;B106)</f>
        <v>1349916</v>
      </c>
    </row>
    <row r="107" spans="1:17" x14ac:dyDescent="0.35">
      <c r="A107">
        <v>106</v>
      </c>
      <c r="B107" s="1">
        <v>45706</v>
      </c>
      <c r="C107" t="s">
        <v>37</v>
      </c>
      <c r="D107" t="s">
        <v>10</v>
      </c>
      <c r="E107" t="s">
        <v>15</v>
      </c>
      <c r="F107" t="s">
        <v>53</v>
      </c>
      <c r="G107" t="s">
        <v>28</v>
      </c>
      <c r="H107">
        <v>18540</v>
      </c>
      <c r="I107">
        <v>13865</v>
      </c>
      <c r="J107">
        <f>H107-I107</f>
        <v>4675</v>
      </c>
      <c r="K107" s="6">
        <f>J107/H107</f>
        <v>0.25215749730312836</v>
      </c>
      <c r="L107" t="str">
        <f t="array" ref="L107">_xlfn.IFS(J107&gt;15000,"Excellent",J107&gt;=5000,"Good",J107&lt;5000,"Poor")</f>
        <v>Poor</v>
      </c>
      <c r="M107">
        <f t="array" ref="M107">_xlfn.XLOOKUP(G107,' Employee_Salary'!$A$1:A111,' Employee_Salary'!$B$1:B111,FALSE)</f>
        <v>45000</v>
      </c>
      <c r="N107" s="9">
        <f>M107/H107</f>
        <v>2.4271844660194173</v>
      </c>
      <c r="O107" s="9">
        <f>IF(D107="Electronics",H107*5%,IF(D107="Furniture",H107*8%,0))</f>
        <v>1483.2</v>
      </c>
      <c r="P107">
        <f>_xlfn.RANK.EQ(H107,$H$2:$H$201,0)</f>
        <v>78</v>
      </c>
      <c r="Q107">
        <f>SUMIFS($H$2:$H$201,$B$2:$B$201,"&lt;="&amp;B107)</f>
        <v>2761759</v>
      </c>
    </row>
    <row r="108" spans="1:17" x14ac:dyDescent="0.35">
      <c r="A108">
        <v>107</v>
      </c>
      <c r="B108" s="1">
        <v>45681</v>
      </c>
      <c r="C108" t="s">
        <v>37</v>
      </c>
      <c r="D108" t="s">
        <v>18</v>
      </c>
      <c r="E108" t="s">
        <v>26</v>
      </c>
      <c r="F108" t="s">
        <v>46</v>
      </c>
      <c r="G108" t="s">
        <v>13</v>
      </c>
      <c r="H108">
        <v>11682</v>
      </c>
      <c r="I108">
        <v>7094</v>
      </c>
      <c r="J108">
        <f>H108-I108</f>
        <v>4588</v>
      </c>
      <c r="K108" s="6">
        <f>J108/H108</f>
        <v>0.39274096901215544</v>
      </c>
      <c r="L108" t="str">
        <f t="array" ref="L108">_xlfn.IFS(J108&gt;15000,"Excellent",J108&gt;=5000,"Good",J108&lt;5000,"Poor")</f>
        <v>Poor</v>
      </c>
      <c r="M108">
        <f t="array" ref="M108">_xlfn.XLOOKUP(G108,' Employee_Salary'!$A$1:A112,' Employee_Salary'!$B$1:B112,FALSE)</f>
        <v>47000</v>
      </c>
      <c r="N108" s="9">
        <f>M108/H108</f>
        <v>4.0232836843006332</v>
      </c>
      <c r="O108" s="9">
        <f>IF(D108="Electronics",H108*5%,IF(D108="Furniture",H108*8%,0))</f>
        <v>584.1</v>
      </c>
      <c r="P108">
        <f>_xlfn.RANK.EQ(H108,$H$2:$H$201,0)</f>
        <v>143</v>
      </c>
      <c r="Q108">
        <f>SUMIFS($H$2:$H$201,$B$2:$B$201,"&lt;="&amp;B108)</f>
        <v>1463299</v>
      </c>
    </row>
    <row r="109" spans="1:17" x14ac:dyDescent="0.35">
      <c r="A109">
        <v>108</v>
      </c>
      <c r="B109" s="1">
        <v>45679</v>
      </c>
      <c r="C109" t="s">
        <v>14</v>
      </c>
      <c r="D109" t="s">
        <v>18</v>
      </c>
      <c r="E109" t="s">
        <v>19</v>
      </c>
      <c r="F109" t="s">
        <v>40</v>
      </c>
      <c r="G109" t="s">
        <v>13</v>
      </c>
      <c r="H109">
        <v>28130</v>
      </c>
      <c r="I109">
        <v>17510</v>
      </c>
      <c r="J109">
        <f>H109-I109</f>
        <v>10620</v>
      </c>
      <c r="K109" s="6">
        <f>J109/H109</f>
        <v>0.37753288304301458</v>
      </c>
      <c r="L109" t="str">
        <f t="array" ref="L109">_xlfn.IFS(J109&gt;15000,"Excellent",J109&gt;=5000,"Good",J109&lt;5000,"Poor")</f>
        <v>Good</v>
      </c>
      <c r="M109">
        <f t="array" ref="M109">_xlfn.XLOOKUP(G109,' Employee_Salary'!$A$1:A113,' Employee_Salary'!$B$1:B113,FALSE)</f>
        <v>47000</v>
      </c>
      <c r="N109" s="9">
        <f>M109/H109</f>
        <v>1.6708140774973339</v>
      </c>
      <c r="O109" s="9">
        <f>IF(D109="Electronics",H109*5%,IF(D109="Furniture",H109*8%,0))</f>
        <v>1406.5</v>
      </c>
      <c r="P109">
        <f>_xlfn.RANK.EQ(H109,$H$2:$H$201,0)</f>
        <v>10</v>
      </c>
      <c r="Q109">
        <f>SUMIFS($H$2:$H$201,$B$2:$B$201,"&lt;="&amp;B109)</f>
        <v>1247618</v>
      </c>
    </row>
    <row r="110" spans="1:17" x14ac:dyDescent="0.35">
      <c r="A110">
        <v>109</v>
      </c>
      <c r="B110" s="1">
        <v>45677</v>
      </c>
      <c r="C110" t="s">
        <v>17</v>
      </c>
      <c r="D110" t="s">
        <v>18</v>
      </c>
      <c r="E110" t="s">
        <v>26</v>
      </c>
      <c r="F110" t="s">
        <v>44</v>
      </c>
      <c r="G110" t="s">
        <v>28</v>
      </c>
      <c r="H110">
        <v>12219</v>
      </c>
      <c r="I110">
        <v>9328</v>
      </c>
      <c r="J110">
        <f>H110-I110</f>
        <v>2891</v>
      </c>
      <c r="K110" s="6">
        <f>J110/H110</f>
        <v>0.2365987396677306</v>
      </c>
      <c r="L110" t="str">
        <f t="array" ref="L110">_xlfn.IFS(J110&gt;15000,"Excellent",J110&gt;=5000,"Good",J110&lt;5000,"Poor")</f>
        <v>Poor</v>
      </c>
      <c r="M110">
        <f t="array" ref="M110">_xlfn.XLOOKUP(G110,' Employee_Salary'!$A$1:A114,' Employee_Salary'!$B$1:B114,FALSE)</f>
        <v>45000</v>
      </c>
      <c r="N110" s="9">
        <f>M110/H110</f>
        <v>3.6827890989442671</v>
      </c>
      <c r="O110" s="9">
        <f>IF(D110="Electronics",H110*5%,IF(D110="Furniture",H110*8%,0))</f>
        <v>610.95000000000005</v>
      </c>
      <c r="P110">
        <f>_xlfn.RANK.EQ(H110,$H$2:$H$201,0)</f>
        <v>139</v>
      </c>
      <c r="Q110">
        <f>SUMIFS($H$2:$H$201,$B$2:$B$201,"&lt;="&amp;B110)</f>
        <v>1137341</v>
      </c>
    </row>
    <row r="111" spans="1:17" x14ac:dyDescent="0.35">
      <c r="A111">
        <v>110</v>
      </c>
      <c r="B111" s="1">
        <v>45696</v>
      </c>
      <c r="C111" t="s">
        <v>14</v>
      </c>
      <c r="D111" t="s">
        <v>18</v>
      </c>
      <c r="E111" t="s">
        <v>26</v>
      </c>
      <c r="F111" t="s">
        <v>62</v>
      </c>
      <c r="G111" t="s">
        <v>28</v>
      </c>
      <c r="H111">
        <v>13169</v>
      </c>
      <c r="I111">
        <v>8888</v>
      </c>
      <c r="J111">
        <f>H111-I111</f>
        <v>4281</v>
      </c>
      <c r="K111" s="6">
        <f>J111/H111</f>
        <v>0.32508163110334876</v>
      </c>
      <c r="L111" t="str">
        <f t="array" ref="L111">_xlfn.IFS(J111&gt;15000,"Excellent",J111&gt;=5000,"Good",J111&lt;5000,"Poor")</f>
        <v>Poor</v>
      </c>
      <c r="M111">
        <f t="array" ref="M111">_xlfn.XLOOKUP(G111,' Employee_Salary'!$A$1:A115,' Employee_Salary'!$B$1:B115,FALSE)</f>
        <v>45000</v>
      </c>
      <c r="N111" s="9">
        <f>M111/H111</f>
        <v>3.4171159541347103</v>
      </c>
      <c r="O111" s="9">
        <f>IF(D111="Electronics",H111*5%,IF(D111="Furniture",H111*8%,0))</f>
        <v>658.45</v>
      </c>
      <c r="P111">
        <f>_xlfn.RANK.EQ(H111,$H$2:$H$201,0)</f>
        <v>122</v>
      </c>
      <c r="Q111">
        <f>SUMIFS($H$2:$H$201,$B$2:$B$201,"&lt;="&amp;B111)</f>
        <v>2074177</v>
      </c>
    </row>
    <row r="112" spans="1:17" x14ac:dyDescent="0.35">
      <c r="A112">
        <v>111</v>
      </c>
      <c r="B112" s="1">
        <v>45699</v>
      </c>
      <c r="C112" t="s">
        <v>37</v>
      </c>
      <c r="D112" t="s">
        <v>10</v>
      </c>
      <c r="E112" t="s">
        <v>15</v>
      </c>
      <c r="F112" t="s">
        <v>31</v>
      </c>
      <c r="G112" t="s">
        <v>33</v>
      </c>
      <c r="H112">
        <v>3614</v>
      </c>
      <c r="I112">
        <v>3028</v>
      </c>
      <c r="J112">
        <f>H112-I112</f>
        <v>586</v>
      </c>
      <c r="K112" s="6">
        <f>J112/H112</f>
        <v>0.16214720531267293</v>
      </c>
      <c r="L112" t="str">
        <f t="array" ref="L112">_xlfn.IFS(J112&gt;15000,"Excellent",J112&gt;=5000,"Good",J112&lt;5000,"Poor")</f>
        <v>Poor</v>
      </c>
      <c r="M112">
        <f t="array" ref="M112">_xlfn.XLOOKUP(G112,' Employee_Salary'!$A$1:A116,' Employee_Salary'!$B$1:B116,FALSE)</f>
        <v>42000</v>
      </c>
      <c r="N112" s="9">
        <f>M112/H112</f>
        <v>11.621472053126729</v>
      </c>
      <c r="O112" s="9">
        <f>IF(D112="Electronics",H112*5%,IF(D112="Furniture",H112*8%,0))</f>
        <v>289.12</v>
      </c>
      <c r="P112">
        <f>_xlfn.RANK.EQ(H112,$H$2:$H$201,0)</f>
        <v>197</v>
      </c>
      <c r="Q112">
        <f>SUMIFS($H$2:$H$201,$B$2:$B$201,"&lt;="&amp;B112)</f>
        <v>2264035</v>
      </c>
    </row>
    <row r="113" spans="1:17" x14ac:dyDescent="0.35">
      <c r="A113">
        <v>112</v>
      </c>
      <c r="B113" s="1">
        <v>45698</v>
      </c>
      <c r="C113" t="s">
        <v>37</v>
      </c>
      <c r="D113" t="s">
        <v>18</v>
      </c>
      <c r="E113" t="s">
        <v>26</v>
      </c>
      <c r="F113" t="s">
        <v>46</v>
      </c>
      <c r="G113" t="s">
        <v>28</v>
      </c>
      <c r="H113">
        <v>27189</v>
      </c>
      <c r="I113">
        <v>23741</v>
      </c>
      <c r="J113">
        <f>H113-I113</f>
        <v>3448</v>
      </c>
      <c r="K113" s="6">
        <f>J113/H113</f>
        <v>0.12681599176137409</v>
      </c>
      <c r="L113" t="str">
        <f t="array" ref="L113">_xlfn.IFS(J113&gt;15000,"Excellent",J113&gt;=5000,"Good",J113&lt;5000,"Poor")</f>
        <v>Poor</v>
      </c>
      <c r="M113">
        <f t="array" ref="M113">_xlfn.XLOOKUP(G113,' Employee_Salary'!$A$1:A117,' Employee_Salary'!$B$1:B117,FALSE)</f>
        <v>45000</v>
      </c>
      <c r="N113" s="9">
        <f>M113/H113</f>
        <v>1.6550810989738498</v>
      </c>
      <c r="O113" s="9">
        <f>IF(D113="Electronics",H113*5%,IF(D113="Furniture",H113*8%,0))</f>
        <v>1359.45</v>
      </c>
      <c r="P113">
        <f>_xlfn.RANK.EQ(H113,$H$2:$H$201,0)</f>
        <v>20</v>
      </c>
      <c r="Q113">
        <f>SUMIFS($H$2:$H$201,$B$2:$B$201,"&lt;="&amp;B113)</f>
        <v>2208504</v>
      </c>
    </row>
    <row r="114" spans="1:17" x14ac:dyDescent="0.35">
      <c r="A114">
        <v>113</v>
      </c>
      <c r="B114" s="1">
        <v>45673</v>
      </c>
      <c r="C114" t="s">
        <v>17</v>
      </c>
      <c r="D114" t="s">
        <v>10</v>
      </c>
      <c r="E114" t="s">
        <v>15</v>
      </c>
      <c r="F114" t="s">
        <v>70</v>
      </c>
      <c r="G114" t="s">
        <v>23</v>
      </c>
      <c r="H114">
        <v>10537</v>
      </c>
      <c r="I114">
        <v>8770</v>
      </c>
      <c r="J114">
        <f>H114-I114</f>
        <v>1767</v>
      </c>
      <c r="K114" s="6">
        <f>J114/H114</f>
        <v>0.1676947897883648</v>
      </c>
      <c r="L114" t="str">
        <f t="array" ref="L114">_xlfn.IFS(J114&gt;15000,"Excellent",J114&gt;=5000,"Good",J114&lt;5000,"Poor")</f>
        <v>Poor</v>
      </c>
      <c r="M114">
        <f t="array" ref="M114">_xlfn.XLOOKUP(G114,' Employee_Salary'!$A$1:A118,' Employee_Salary'!$B$1:B118,FALSE)</f>
        <v>43000</v>
      </c>
      <c r="N114" s="9">
        <f>M114/H114</f>
        <v>4.0808579292018603</v>
      </c>
      <c r="O114" s="9">
        <f>IF(D114="Electronics",H114*5%,IF(D114="Furniture",H114*8%,0))</f>
        <v>842.96</v>
      </c>
      <c r="P114">
        <f>_xlfn.RANK.EQ(H114,$H$2:$H$201,0)</f>
        <v>147</v>
      </c>
      <c r="Q114">
        <f>SUMIFS($H$2:$H$201,$B$2:$B$201,"&lt;="&amp;B114)</f>
        <v>933361</v>
      </c>
    </row>
    <row r="115" spans="1:17" x14ac:dyDescent="0.35">
      <c r="A115">
        <v>114</v>
      </c>
      <c r="B115" s="1">
        <v>45673</v>
      </c>
      <c r="C115" t="s">
        <v>9</v>
      </c>
      <c r="D115" t="s">
        <v>18</v>
      </c>
      <c r="E115" t="s">
        <v>26</v>
      </c>
      <c r="F115" t="s">
        <v>68</v>
      </c>
      <c r="G115" t="s">
        <v>13</v>
      </c>
      <c r="H115">
        <v>7848</v>
      </c>
      <c r="I115">
        <v>4969</v>
      </c>
      <c r="J115">
        <f>H115-I115</f>
        <v>2879</v>
      </c>
      <c r="K115" s="6">
        <f>J115/H115</f>
        <v>0.36684505606523954</v>
      </c>
      <c r="L115" t="str">
        <f t="array" ref="L115">_xlfn.IFS(J115&gt;15000,"Excellent",J115&gt;=5000,"Good",J115&lt;5000,"Poor")</f>
        <v>Poor</v>
      </c>
      <c r="M115">
        <f t="array" ref="M115">_xlfn.XLOOKUP(G115,' Employee_Salary'!$A$1:A119,' Employee_Salary'!$B$1:B119,FALSE)</f>
        <v>47000</v>
      </c>
      <c r="N115" s="9">
        <f>M115/H115</f>
        <v>5.9887869520897041</v>
      </c>
      <c r="O115" s="9">
        <f>IF(D115="Electronics",H115*5%,IF(D115="Furniture",H115*8%,0))</f>
        <v>392.40000000000003</v>
      </c>
      <c r="P115">
        <f>_xlfn.RANK.EQ(H115,$H$2:$H$201,0)</f>
        <v>165</v>
      </c>
      <c r="Q115">
        <f>SUMIFS($H$2:$H$201,$B$2:$B$201,"&lt;="&amp;B115)</f>
        <v>933361</v>
      </c>
    </row>
    <row r="116" spans="1:17" x14ac:dyDescent="0.35">
      <c r="A116">
        <v>115</v>
      </c>
      <c r="B116" s="1">
        <v>45697</v>
      </c>
      <c r="C116" t="s">
        <v>17</v>
      </c>
      <c r="D116" t="s">
        <v>10</v>
      </c>
      <c r="E116" t="s">
        <v>15</v>
      </c>
      <c r="F116" t="s">
        <v>34</v>
      </c>
      <c r="G116" t="s">
        <v>28</v>
      </c>
      <c r="H116">
        <v>27755</v>
      </c>
      <c r="I116">
        <v>22304</v>
      </c>
      <c r="J116">
        <f>H116-I116</f>
        <v>5451</v>
      </c>
      <c r="K116" s="6">
        <f>J116/H116</f>
        <v>0.19639704557737345</v>
      </c>
      <c r="L116" t="str">
        <f t="array" ref="L116">_xlfn.IFS(J116&gt;15000,"Excellent",J116&gt;=5000,"Good",J116&lt;5000,"Poor")</f>
        <v>Good</v>
      </c>
      <c r="M116">
        <f t="array" ref="M116">_xlfn.XLOOKUP(G116,' Employee_Salary'!$A$1:A120,' Employee_Salary'!$B$1:B120,FALSE)</f>
        <v>45000</v>
      </c>
      <c r="N116" s="9">
        <f>M116/H116</f>
        <v>1.6213294901819493</v>
      </c>
      <c r="O116" s="9">
        <f>IF(D116="Electronics",H116*5%,IF(D116="Furniture",H116*8%,0))</f>
        <v>2220.4</v>
      </c>
      <c r="P116">
        <f>_xlfn.RANK.EQ(H116,$H$2:$H$201,0)</f>
        <v>16</v>
      </c>
      <c r="Q116">
        <f>SUMIFS($H$2:$H$201,$B$2:$B$201,"&lt;="&amp;B116)</f>
        <v>2181315</v>
      </c>
    </row>
    <row r="117" spans="1:17" x14ac:dyDescent="0.35">
      <c r="A117">
        <v>116</v>
      </c>
      <c r="B117" s="1">
        <v>45663</v>
      </c>
      <c r="C117" t="s">
        <v>37</v>
      </c>
      <c r="D117" t="s">
        <v>18</v>
      </c>
      <c r="E117" t="s">
        <v>26</v>
      </c>
      <c r="F117" t="s">
        <v>53</v>
      </c>
      <c r="G117" t="s">
        <v>35</v>
      </c>
      <c r="H117">
        <v>4181</v>
      </c>
      <c r="I117">
        <v>2556</v>
      </c>
      <c r="J117">
        <f>H117-I117</f>
        <v>1625</v>
      </c>
      <c r="K117" s="6">
        <f>J117/H117</f>
        <v>0.38866299928246834</v>
      </c>
      <c r="L117" t="str">
        <f t="array" ref="L117">_xlfn.IFS(J117&gt;15000,"Excellent",J117&gt;=5000,"Good",J117&lt;5000,"Poor")</f>
        <v>Poor</v>
      </c>
      <c r="M117">
        <f t="array" ref="M117">_xlfn.XLOOKUP(G117,' Employee_Salary'!$A$1:A121,' Employee_Salary'!$B$1:B121,FALSE)</f>
        <v>40000</v>
      </c>
      <c r="N117" s="9">
        <f>M117/H117</f>
        <v>9.5670892131069127</v>
      </c>
      <c r="O117" s="9">
        <f>IF(D117="Electronics",H117*5%,IF(D117="Furniture",H117*8%,0))</f>
        <v>209.05</v>
      </c>
      <c r="P117">
        <f>_xlfn.RANK.EQ(H117,$H$2:$H$201,0)</f>
        <v>193</v>
      </c>
      <c r="Q117">
        <f>SUMIFS($H$2:$H$201,$B$2:$B$201,"&lt;="&amp;B117)</f>
        <v>314278</v>
      </c>
    </row>
    <row r="118" spans="1:17" x14ac:dyDescent="0.35">
      <c r="A118">
        <v>117</v>
      </c>
      <c r="B118" s="1">
        <v>45695</v>
      </c>
      <c r="C118" t="s">
        <v>9</v>
      </c>
      <c r="D118" t="s">
        <v>10</v>
      </c>
      <c r="E118" t="s">
        <v>21</v>
      </c>
      <c r="F118" t="s">
        <v>31</v>
      </c>
      <c r="G118" t="s">
        <v>28</v>
      </c>
      <c r="H118">
        <v>8389</v>
      </c>
      <c r="I118">
        <v>6532</v>
      </c>
      <c r="J118">
        <f>H118-I118</f>
        <v>1857</v>
      </c>
      <c r="K118" s="6">
        <f>J118/H118</f>
        <v>0.22136130647276195</v>
      </c>
      <c r="L118" t="str">
        <f t="array" ref="L118">_xlfn.IFS(J118&gt;15000,"Excellent",J118&gt;=5000,"Good",J118&lt;5000,"Poor")</f>
        <v>Poor</v>
      </c>
      <c r="M118">
        <f t="array" ref="M118">_xlfn.XLOOKUP(G118,' Employee_Salary'!$A$1:A122,' Employee_Salary'!$B$1:B122,FALSE)</f>
        <v>45000</v>
      </c>
      <c r="N118" s="9">
        <f>M118/H118</f>
        <v>5.3641673620216954</v>
      </c>
      <c r="O118" s="9">
        <f>IF(D118="Electronics",H118*5%,IF(D118="Furniture",H118*8%,0))</f>
        <v>671.12</v>
      </c>
      <c r="P118">
        <f>_xlfn.RANK.EQ(H118,$H$2:$H$201,0)</f>
        <v>161</v>
      </c>
      <c r="Q118">
        <f>SUMIFS($H$2:$H$201,$B$2:$B$201,"&lt;="&amp;B118)</f>
        <v>2014845</v>
      </c>
    </row>
    <row r="119" spans="1:17" x14ac:dyDescent="0.35">
      <c r="A119">
        <v>118</v>
      </c>
      <c r="B119" s="1">
        <v>45711</v>
      </c>
      <c r="C119" t="s">
        <v>14</v>
      </c>
      <c r="D119" t="s">
        <v>10</v>
      </c>
      <c r="E119" t="s">
        <v>21</v>
      </c>
      <c r="F119" t="s">
        <v>24</v>
      </c>
      <c r="G119" t="s">
        <v>23</v>
      </c>
      <c r="H119">
        <v>5296</v>
      </c>
      <c r="I119">
        <v>4380</v>
      </c>
      <c r="J119">
        <f>H119-I119</f>
        <v>916</v>
      </c>
      <c r="K119" s="6">
        <f>J119/H119</f>
        <v>0.1729607250755287</v>
      </c>
      <c r="L119" t="str">
        <f t="array" ref="L119">_xlfn.IFS(J119&gt;15000,"Excellent",J119&gt;=5000,"Good",J119&lt;5000,"Poor")</f>
        <v>Poor</v>
      </c>
      <c r="M119">
        <f t="array" ref="M119">_xlfn.XLOOKUP(G119,' Employee_Salary'!$A$1:A123,' Employee_Salary'!$B$1:B123,FALSE)</f>
        <v>43000</v>
      </c>
      <c r="N119" s="9">
        <f>M119/H119</f>
        <v>8.119335347432024</v>
      </c>
      <c r="O119" s="9">
        <f>IF(D119="Electronics",H119*5%,IF(D119="Furniture",H119*8%,0))</f>
        <v>423.68</v>
      </c>
      <c r="P119">
        <f>_xlfn.RANK.EQ(H119,$H$2:$H$201,0)</f>
        <v>181</v>
      </c>
      <c r="Q119">
        <f>SUMIFS($H$2:$H$201,$B$2:$B$201,"&lt;="&amp;B119)</f>
        <v>2950132</v>
      </c>
    </row>
    <row r="120" spans="1:17" x14ac:dyDescent="0.35">
      <c r="A120">
        <v>119</v>
      </c>
      <c r="B120" s="1">
        <v>45681</v>
      </c>
      <c r="C120" t="s">
        <v>14</v>
      </c>
      <c r="D120" t="s">
        <v>18</v>
      </c>
      <c r="E120" t="s">
        <v>19</v>
      </c>
      <c r="F120" t="s">
        <v>60</v>
      </c>
      <c r="G120" t="s">
        <v>13</v>
      </c>
      <c r="H120">
        <v>23944</v>
      </c>
      <c r="I120">
        <v>15560</v>
      </c>
      <c r="J120">
        <f>H120-I120</f>
        <v>8384</v>
      </c>
      <c r="K120" s="6">
        <f>J120/H120</f>
        <v>0.35015035081857671</v>
      </c>
      <c r="L120" t="str">
        <f t="array" ref="L120">_xlfn.IFS(J120&gt;15000,"Excellent",J120&gt;=5000,"Good",J120&lt;5000,"Poor")</f>
        <v>Good</v>
      </c>
      <c r="M120">
        <f t="array" ref="M120">_xlfn.XLOOKUP(G120,' Employee_Salary'!$A$1:A124,' Employee_Salary'!$B$1:B124,FALSE)</f>
        <v>47000</v>
      </c>
      <c r="N120" s="9">
        <f>M120/H120</f>
        <v>1.962913464751086</v>
      </c>
      <c r="O120" s="9">
        <f>IF(D120="Electronics",H120*5%,IF(D120="Furniture",H120*8%,0))</f>
        <v>1197.2</v>
      </c>
      <c r="P120">
        <f>_xlfn.RANK.EQ(H120,$H$2:$H$201,0)</f>
        <v>36</v>
      </c>
      <c r="Q120">
        <f>SUMIFS($H$2:$H$201,$B$2:$B$201,"&lt;="&amp;B120)</f>
        <v>1463299</v>
      </c>
    </row>
    <row r="121" spans="1:17" x14ac:dyDescent="0.35">
      <c r="A121">
        <v>120</v>
      </c>
      <c r="B121" s="1">
        <v>45685</v>
      </c>
      <c r="C121" t="s">
        <v>37</v>
      </c>
      <c r="D121" t="s">
        <v>18</v>
      </c>
      <c r="E121" t="s">
        <v>19</v>
      </c>
      <c r="F121" t="s">
        <v>63</v>
      </c>
      <c r="G121" t="s">
        <v>23</v>
      </c>
      <c r="H121">
        <v>18898</v>
      </c>
      <c r="I121">
        <v>13265</v>
      </c>
      <c r="J121">
        <f>H121-I121</f>
        <v>5633</v>
      </c>
      <c r="K121" s="6">
        <f>J121/H121</f>
        <v>0.29807387025082022</v>
      </c>
      <c r="L121" t="str">
        <f t="array" ref="L121">_xlfn.IFS(J121&gt;15000,"Excellent",J121&gt;=5000,"Good",J121&lt;5000,"Poor")</f>
        <v>Good</v>
      </c>
      <c r="M121">
        <f t="array" ref="M121">_xlfn.XLOOKUP(G121,' Employee_Salary'!$A$1:A125,' Employee_Salary'!$B$1:B125,FALSE)</f>
        <v>43000</v>
      </c>
      <c r="N121" s="9">
        <f>M121/H121</f>
        <v>2.2753730553497724</v>
      </c>
      <c r="O121" s="9">
        <f>IF(D121="Electronics",H121*5%,IF(D121="Furniture",H121*8%,0))</f>
        <v>944.90000000000009</v>
      </c>
      <c r="P121">
        <f>_xlfn.RANK.EQ(H121,$H$2:$H$201,0)</f>
        <v>75</v>
      </c>
      <c r="Q121">
        <f>SUMIFS($H$2:$H$201,$B$2:$B$201,"&lt;="&amp;B121)</f>
        <v>1648974</v>
      </c>
    </row>
    <row r="122" spans="1:17" x14ac:dyDescent="0.35">
      <c r="A122">
        <v>121</v>
      </c>
      <c r="B122" s="1">
        <v>45683</v>
      </c>
      <c r="C122" t="s">
        <v>9</v>
      </c>
      <c r="D122" t="s">
        <v>10</v>
      </c>
      <c r="E122" t="s">
        <v>11</v>
      </c>
      <c r="F122" t="s">
        <v>41</v>
      </c>
      <c r="G122" t="s">
        <v>35</v>
      </c>
      <c r="H122">
        <v>13655</v>
      </c>
      <c r="I122">
        <v>11129</v>
      </c>
      <c r="J122">
        <f>H122-I122</f>
        <v>2526</v>
      </c>
      <c r="K122" s="6">
        <f>J122/H122</f>
        <v>0.18498718418161844</v>
      </c>
      <c r="L122" t="str">
        <f t="array" ref="L122">_xlfn.IFS(J122&gt;15000,"Excellent",J122&gt;=5000,"Good",J122&lt;5000,"Poor")</f>
        <v>Poor</v>
      </c>
      <c r="M122">
        <f t="array" ref="M122">_xlfn.XLOOKUP(G122,' Employee_Salary'!$A$1:A126,' Employee_Salary'!$B$1:B126,FALSE)</f>
        <v>40000</v>
      </c>
      <c r="N122" s="9">
        <f>M122/H122</f>
        <v>2.9293299157817647</v>
      </c>
      <c r="O122" s="9">
        <f>IF(D122="Electronics",H122*5%,IF(D122="Furniture",H122*8%,0))</f>
        <v>1092.4000000000001</v>
      </c>
      <c r="P122">
        <f>_xlfn.RANK.EQ(H122,$H$2:$H$201,0)</f>
        <v>119</v>
      </c>
      <c r="Q122">
        <f>SUMIFS($H$2:$H$201,$B$2:$B$201,"&lt;="&amp;B122)</f>
        <v>1589196</v>
      </c>
    </row>
    <row r="123" spans="1:17" x14ac:dyDescent="0.35">
      <c r="A123">
        <v>122</v>
      </c>
      <c r="B123" s="1">
        <v>45697</v>
      </c>
      <c r="C123" t="s">
        <v>37</v>
      </c>
      <c r="D123" t="s">
        <v>18</v>
      </c>
      <c r="E123" t="s">
        <v>19</v>
      </c>
      <c r="F123" t="s">
        <v>12</v>
      </c>
      <c r="G123" t="s">
        <v>35</v>
      </c>
      <c r="H123">
        <v>27432</v>
      </c>
      <c r="I123">
        <v>21904</v>
      </c>
      <c r="J123">
        <f>H123-I123</f>
        <v>5528</v>
      </c>
      <c r="K123" s="6">
        <f>J123/H123</f>
        <v>0.20151647710702827</v>
      </c>
      <c r="L123" t="str">
        <f t="array" ref="L123">_xlfn.IFS(J123&gt;15000,"Excellent",J123&gt;=5000,"Good",J123&lt;5000,"Poor")</f>
        <v>Good</v>
      </c>
      <c r="M123">
        <f t="array" ref="M123">_xlfn.XLOOKUP(G123,' Employee_Salary'!$A$1:A127,' Employee_Salary'!$B$1:B127,FALSE)</f>
        <v>40000</v>
      </c>
      <c r="N123" s="9">
        <f>M123/H123</f>
        <v>1.4581510644502771</v>
      </c>
      <c r="O123" s="9">
        <f>IF(D123="Electronics",H123*5%,IF(D123="Furniture",H123*8%,0))</f>
        <v>1371.6000000000001</v>
      </c>
      <c r="P123">
        <f>_xlfn.RANK.EQ(H123,$H$2:$H$201,0)</f>
        <v>18</v>
      </c>
      <c r="Q123">
        <f>SUMIFS($H$2:$H$201,$B$2:$B$201,"&lt;="&amp;B123)</f>
        <v>2181315</v>
      </c>
    </row>
    <row r="124" spans="1:17" x14ac:dyDescent="0.35">
      <c r="A124">
        <v>123</v>
      </c>
      <c r="B124" s="1">
        <v>45702</v>
      </c>
      <c r="C124" t="s">
        <v>14</v>
      </c>
      <c r="D124" t="s">
        <v>18</v>
      </c>
      <c r="E124" t="s">
        <v>32</v>
      </c>
      <c r="F124" t="s">
        <v>41</v>
      </c>
      <c r="G124" t="s">
        <v>23</v>
      </c>
      <c r="H124">
        <v>22740</v>
      </c>
      <c r="I124">
        <v>15119</v>
      </c>
      <c r="J124">
        <f>H124-I124</f>
        <v>7621</v>
      </c>
      <c r="K124" s="6">
        <f>J124/H124</f>
        <v>0.33513632365875112</v>
      </c>
      <c r="L124" t="str">
        <f t="array" ref="L124">_xlfn.IFS(J124&gt;15000,"Excellent",J124&gt;=5000,"Good",J124&lt;5000,"Poor")</f>
        <v>Good</v>
      </c>
      <c r="M124">
        <f t="array" ref="M124">_xlfn.XLOOKUP(G124,' Employee_Salary'!$A$1:A128,' Employee_Salary'!$B$1:B128,FALSE)</f>
        <v>43000</v>
      </c>
      <c r="N124" s="9">
        <f>M124/H124</f>
        <v>1.8909410729991205</v>
      </c>
      <c r="O124" s="9">
        <f>IF(D124="Electronics",H124*5%,IF(D124="Furniture",H124*8%,0))</f>
        <v>1137</v>
      </c>
      <c r="P124">
        <f>_xlfn.RANK.EQ(H124,$H$2:$H$201,0)</f>
        <v>45</v>
      </c>
      <c r="Q124">
        <f>SUMIFS($H$2:$H$201,$B$2:$B$201,"&lt;="&amp;B124)</f>
        <v>2448350</v>
      </c>
    </row>
    <row r="125" spans="1:17" x14ac:dyDescent="0.35">
      <c r="A125">
        <v>124</v>
      </c>
      <c r="B125" s="1">
        <v>45710</v>
      </c>
      <c r="C125" t="s">
        <v>9</v>
      </c>
      <c r="D125" t="s">
        <v>10</v>
      </c>
      <c r="E125" t="s">
        <v>21</v>
      </c>
      <c r="F125" t="s">
        <v>61</v>
      </c>
      <c r="G125" t="s">
        <v>28</v>
      </c>
      <c r="H125">
        <v>20494</v>
      </c>
      <c r="I125">
        <v>13939</v>
      </c>
      <c r="J125">
        <f>H125-I125</f>
        <v>6555</v>
      </c>
      <c r="K125" s="6">
        <f>J125/H125</f>
        <v>0.31984971211086172</v>
      </c>
      <c r="L125" t="str">
        <f t="array" ref="L125">_xlfn.IFS(J125&gt;15000,"Excellent",J125&gt;=5000,"Good",J125&lt;5000,"Poor")</f>
        <v>Good</v>
      </c>
      <c r="M125">
        <f t="array" ref="M125">_xlfn.XLOOKUP(G125,' Employee_Salary'!$A$1:A129,' Employee_Salary'!$B$1:B129,FALSE)</f>
        <v>45000</v>
      </c>
      <c r="N125" s="9">
        <f>M125/H125</f>
        <v>2.1957646140333758</v>
      </c>
      <c r="O125" s="9">
        <f>IF(D125="Electronics",H125*5%,IF(D125="Furniture",H125*8%,0))</f>
        <v>1639.52</v>
      </c>
      <c r="P125">
        <f>_xlfn.RANK.EQ(H125,$H$2:$H$201,0)</f>
        <v>64</v>
      </c>
      <c r="Q125">
        <f>SUMIFS($H$2:$H$201,$B$2:$B$201,"&lt;="&amp;B125)</f>
        <v>2944836</v>
      </c>
    </row>
    <row r="126" spans="1:17" x14ac:dyDescent="0.35">
      <c r="A126">
        <v>125</v>
      </c>
      <c r="B126" s="1">
        <v>45697</v>
      </c>
      <c r="C126" t="s">
        <v>17</v>
      </c>
      <c r="D126" t="s">
        <v>10</v>
      </c>
      <c r="E126" t="s">
        <v>21</v>
      </c>
      <c r="F126" t="s">
        <v>40</v>
      </c>
      <c r="G126" t="s">
        <v>35</v>
      </c>
      <c r="H126">
        <v>4689</v>
      </c>
      <c r="I126">
        <v>3659</v>
      </c>
      <c r="J126">
        <f>H126-I126</f>
        <v>1030</v>
      </c>
      <c r="K126" s="6">
        <f>J126/H126</f>
        <v>0.21966304116016208</v>
      </c>
      <c r="L126" t="str">
        <f t="array" ref="L126">_xlfn.IFS(J126&gt;15000,"Excellent",J126&gt;=5000,"Good",J126&lt;5000,"Poor")</f>
        <v>Poor</v>
      </c>
      <c r="M126">
        <f t="array" ref="M126">_xlfn.XLOOKUP(G126,' Employee_Salary'!$A$1:A130,' Employee_Salary'!$B$1:B130,FALSE)</f>
        <v>40000</v>
      </c>
      <c r="N126" s="9">
        <f>M126/H126</f>
        <v>8.5306035402004685</v>
      </c>
      <c r="O126" s="9">
        <f>IF(D126="Electronics",H126*5%,IF(D126="Furniture",H126*8%,0))</f>
        <v>375.12</v>
      </c>
      <c r="P126">
        <f>_xlfn.RANK.EQ(H126,$H$2:$H$201,0)</f>
        <v>191</v>
      </c>
      <c r="Q126">
        <f>SUMIFS($H$2:$H$201,$B$2:$B$201,"&lt;="&amp;B126)</f>
        <v>2181315</v>
      </c>
    </row>
    <row r="127" spans="1:17" x14ac:dyDescent="0.35">
      <c r="A127">
        <v>126</v>
      </c>
      <c r="B127" s="1">
        <v>45693</v>
      </c>
      <c r="C127" t="s">
        <v>37</v>
      </c>
      <c r="D127" t="s">
        <v>10</v>
      </c>
      <c r="E127" t="s">
        <v>21</v>
      </c>
      <c r="F127" t="s">
        <v>55</v>
      </c>
      <c r="G127" t="s">
        <v>35</v>
      </c>
      <c r="H127">
        <v>7805</v>
      </c>
      <c r="I127">
        <v>6809</v>
      </c>
      <c r="J127">
        <f>H127-I127</f>
        <v>996</v>
      </c>
      <c r="K127" s="6">
        <f>J127/H127</f>
        <v>0.1276105060858424</v>
      </c>
      <c r="L127" t="str">
        <f t="array" ref="L127">_xlfn.IFS(J127&gt;15000,"Excellent",J127&gt;=5000,"Good",J127&lt;5000,"Poor")</f>
        <v>Poor</v>
      </c>
      <c r="M127">
        <f t="array" ref="M127">_xlfn.XLOOKUP(G127,' Employee_Salary'!$A$1:A131,' Employee_Salary'!$B$1:B131,FALSE)</f>
        <v>40000</v>
      </c>
      <c r="N127" s="9">
        <f>M127/H127</f>
        <v>5.1249199231262015</v>
      </c>
      <c r="O127" s="9">
        <f>IF(D127="Electronics",H127*5%,IF(D127="Furniture",H127*8%,0))</f>
        <v>624.4</v>
      </c>
      <c r="P127">
        <f>_xlfn.RANK.EQ(H127,$H$2:$H$201,0)</f>
        <v>166</v>
      </c>
      <c r="Q127">
        <f>SUMIFS($H$2:$H$201,$B$2:$B$201,"&lt;="&amp;B127)</f>
        <v>1945841</v>
      </c>
    </row>
    <row r="128" spans="1:17" x14ac:dyDescent="0.35">
      <c r="A128">
        <v>127</v>
      </c>
      <c r="B128" s="1">
        <v>45696</v>
      </c>
      <c r="C128" t="s">
        <v>14</v>
      </c>
      <c r="D128" t="s">
        <v>10</v>
      </c>
      <c r="E128" t="s">
        <v>15</v>
      </c>
      <c r="F128" t="s">
        <v>39</v>
      </c>
      <c r="G128" t="s">
        <v>28</v>
      </c>
      <c r="H128">
        <v>29035</v>
      </c>
      <c r="I128">
        <v>18117</v>
      </c>
      <c r="J128">
        <f>H128-I128</f>
        <v>10918</v>
      </c>
      <c r="K128" s="6">
        <f>J128/H128</f>
        <v>0.37602893060099879</v>
      </c>
      <c r="L128" t="str">
        <f t="array" ref="L128">_xlfn.IFS(J128&gt;15000,"Excellent",J128&gt;=5000,"Good",J128&lt;5000,"Poor")</f>
        <v>Good</v>
      </c>
      <c r="M128">
        <f t="array" ref="M128">_xlfn.XLOOKUP(G128,' Employee_Salary'!$A$1:A132,' Employee_Salary'!$B$1:B132,FALSE)</f>
        <v>45000</v>
      </c>
      <c r="N128" s="9">
        <f>M128/H128</f>
        <v>1.5498536249354227</v>
      </c>
      <c r="O128" s="9">
        <f>IF(D128="Electronics",H128*5%,IF(D128="Furniture",H128*8%,0))</f>
        <v>2322.8000000000002</v>
      </c>
      <c r="P128">
        <f>_xlfn.RANK.EQ(H128,$H$2:$H$201,0)</f>
        <v>4</v>
      </c>
      <c r="Q128">
        <f>SUMIFS($H$2:$H$201,$B$2:$B$201,"&lt;="&amp;B128)</f>
        <v>2074177</v>
      </c>
    </row>
    <row r="129" spans="1:17" x14ac:dyDescent="0.35">
      <c r="A129">
        <v>128</v>
      </c>
      <c r="B129" s="1">
        <v>45704</v>
      </c>
      <c r="C129" t="s">
        <v>17</v>
      </c>
      <c r="D129" t="s">
        <v>10</v>
      </c>
      <c r="E129" t="s">
        <v>42</v>
      </c>
      <c r="F129" t="s">
        <v>20</v>
      </c>
      <c r="G129" t="s">
        <v>33</v>
      </c>
      <c r="H129">
        <v>28977</v>
      </c>
      <c r="I129">
        <v>20727</v>
      </c>
      <c r="J129">
        <f>H129-I129</f>
        <v>8250</v>
      </c>
      <c r="K129" s="6">
        <f>J129/H129</f>
        <v>0.28470856196293615</v>
      </c>
      <c r="L129" t="str">
        <f t="array" ref="L129">_xlfn.IFS(J129&gt;15000,"Excellent",J129&gt;=5000,"Good",J129&lt;5000,"Poor")</f>
        <v>Good</v>
      </c>
      <c r="M129">
        <f t="array" ref="M129">_xlfn.XLOOKUP(G129,' Employee_Salary'!$A$1:A133,' Employee_Salary'!$B$1:B133,FALSE)</f>
        <v>42000</v>
      </c>
      <c r="N129" s="9">
        <f>M129/H129</f>
        <v>1.4494254063567658</v>
      </c>
      <c r="O129" s="9">
        <f>IF(D129="Electronics",H129*5%,IF(D129="Furniture",H129*8%,0))</f>
        <v>2318.16</v>
      </c>
      <c r="P129">
        <f>_xlfn.RANK.EQ(H129,$H$2:$H$201,0)</f>
        <v>5</v>
      </c>
      <c r="Q129">
        <f>SUMIFS($H$2:$H$201,$B$2:$B$201,"&lt;="&amp;B129)</f>
        <v>2568758</v>
      </c>
    </row>
    <row r="130" spans="1:17" x14ac:dyDescent="0.35">
      <c r="A130">
        <v>129</v>
      </c>
      <c r="B130" s="1">
        <v>45700</v>
      </c>
      <c r="C130" t="s">
        <v>14</v>
      </c>
      <c r="D130" t="s">
        <v>18</v>
      </c>
      <c r="E130" t="s">
        <v>32</v>
      </c>
      <c r="F130" t="s">
        <v>53</v>
      </c>
      <c r="G130" t="s">
        <v>23</v>
      </c>
      <c r="H130">
        <v>22701</v>
      </c>
      <c r="I130">
        <v>17830</v>
      </c>
      <c r="J130">
        <f>H130-I130</f>
        <v>4871</v>
      </c>
      <c r="K130" s="6">
        <f>J130/H130</f>
        <v>0.2145720452843487</v>
      </c>
      <c r="L130" t="str">
        <f t="array" ref="L130">_xlfn.IFS(J130&gt;15000,"Excellent",J130&gt;=5000,"Good",J130&lt;5000,"Poor")</f>
        <v>Poor</v>
      </c>
      <c r="M130">
        <f t="array" ref="M130">_xlfn.XLOOKUP(G130,' Employee_Salary'!$A$1:A134,' Employee_Salary'!$B$1:B134,FALSE)</f>
        <v>43000</v>
      </c>
      <c r="N130" s="9">
        <f>M130/H130</f>
        <v>1.8941896832738645</v>
      </c>
      <c r="O130" s="9">
        <f>IF(D130="Electronics",H130*5%,IF(D130="Furniture",H130*8%,0))</f>
        <v>1135.05</v>
      </c>
      <c r="P130">
        <f>_xlfn.RANK.EQ(H130,$H$2:$H$201,0)</f>
        <v>47</v>
      </c>
      <c r="Q130">
        <f>SUMIFS($H$2:$H$201,$B$2:$B$201,"&lt;="&amp;B130)</f>
        <v>2334388</v>
      </c>
    </row>
    <row r="131" spans="1:17" x14ac:dyDescent="0.35">
      <c r="A131">
        <v>130</v>
      </c>
      <c r="B131" s="1">
        <v>45659</v>
      </c>
      <c r="C131" t="s">
        <v>9</v>
      </c>
      <c r="D131" t="s">
        <v>10</v>
      </c>
      <c r="E131" t="s">
        <v>21</v>
      </c>
      <c r="F131" t="s">
        <v>20</v>
      </c>
      <c r="G131" t="s">
        <v>23</v>
      </c>
      <c r="H131">
        <v>19348</v>
      </c>
      <c r="I131">
        <v>12365</v>
      </c>
      <c r="J131">
        <f>H131-I131</f>
        <v>6983</v>
      </c>
      <c r="K131" s="6">
        <f>J131/H131</f>
        <v>0.36091585693611744</v>
      </c>
      <c r="L131" t="str">
        <f t="array" ref="L131">_xlfn.IFS(J131&gt;15000,"Excellent",J131&gt;=5000,"Good",J131&lt;5000,"Poor")</f>
        <v>Good</v>
      </c>
      <c r="M131">
        <f t="array" ref="M131">_xlfn.XLOOKUP(G131,' Employee_Salary'!$A$1:A135,' Employee_Salary'!$B$1:B135,FALSE)</f>
        <v>43000</v>
      </c>
      <c r="N131" s="9">
        <f>M131/H131</f>
        <v>2.2224519330163326</v>
      </c>
      <c r="O131" s="9">
        <f>IF(D131="Electronics",H131*5%,IF(D131="Furniture",H131*8%,0))</f>
        <v>1547.8400000000001</v>
      </c>
      <c r="P131">
        <f>_xlfn.RANK.EQ(H131,$H$2:$H$201,0)</f>
        <v>73</v>
      </c>
      <c r="Q131">
        <f>SUMIFS($H$2:$H$201,$B$2:$B$201,"&lt;="&amp;B131)</f>
        <v>85259</v>
      </c>
    </row>
    <row r="132" spans="1:17" x14ac:dyDescent="0.35">
      <c r="A132">
        <v>131</v>
      </c>
      <c r="B132" s="1">
        <v>45689</v>
      </c>
      <c r="C132" t="s">
        <v>14</v>
      </c>
      <c r="D132" t="s">
        <v>10</v>
      </c>
      <c r="E132" t="s">
        <v>42</v>
      </c>
      <c r="F132" t="s">
        <v>60</v>
      </c>
      <c r="G132" t="s">
        <v>13</v>
      </c>
      <c r="H132">
        <v>17249</v>
      </c>
      <c r="I132">
        <v>15437</v>
      </c>
      <c r="J132">
        <f>H132-I132</f>
        <v>1812</v>
      </c>
      <c r="K132" s="6">
        <f>J132/H132</f>
        <v>0.10504956809090382</v>
      </c>
      <c r="L132" t="str">
        <f t="array" ref="L132">_xlfn.IFS(J132&gt;15000,"Excellent",J132&gt;=5000,"Good",J132&lt;5000,"Poor")</f>
        <v>Poor</v>
      </c>
      <c r="M132">
        <f t="array" ref="M132">_xlfn.XLOOKUP(G132,' Employee_Salary'!$A$1:A136,' Employee_Salary'!$B$1:B136,FALSE)</f>
        <v>47000</v>
      </c>
      <c r="N132" s="9">
        <f>M132/H132</f>
        <v>2.7247956403269753</v>
      </c>
      <c r="O132" s="9">
        <f>IF(D132="Electronics",H132*5%,IF(D132="Furniture",H132*8%,0))</f>
        <v>1379.92</v>
      </c>
      <c r="P132">
        <f>_xlfn.RANK.EQ(H132,$H$2:$H$201,0)</f>
        <v>93</v>
      </c>
      <c r="Q132">
        <f>SUMIFS($H$2:$H$201,$B$2:$B$201,"&lt;="&amp;B132)</f>
        <v>1845453</v>
      </c>
    </row>
    <row r="133" spans="1:17" x14ac:dyDescent="0.35">
      <c r="A133">
        <v>132</v>
      </c>
      <c r="B133" s="1">
        <v>45699</v>
      </c>
      <c r="C133" t="s">
        <v>17</v>
      </c>
      <c r="D133" t="s">
        <v>10</v>
      </c>
      <c r="E133" t="s">
        <v>21</v>
      </c>
      <c r="F133" t="s">
        <v>49</v>
      </c>
      <c r="G133" t="s">
        <v>13</v>
      </c>
      <c r="H133">
        <v>11825</v>
      </c>
      <c r="I133">
        <v>10476</v>
      </c>
      <c r="J133">
        <f>H133-I133</f>
        <v>1349</v>
      </c>
      <c r="K133" s="6">
        <f>J133/H133</f>
        <v>0.11408033826638478</v>
      </c>
      <c r="L133" t="str">
        <f t="array" ref="L133">_xlfn.IFS(J133&gt;15000,"Excellent",J133&gt;=5000,"Good",J133&lt;5000,"Poor")</f>
        <v>Poor</v>
      </c>
      <c r="M133">
        <f t="array" ref="M133">_xlfn.XLOOKUP(G133,' Employee_Salary'!$A$1:A137,' Employee_Salary'!$B$1:B137,FALSE)</f>
        <v>47000</v>
      </c>
      <c r="N133" s="9">
        <f>M133/H133</f>
        <v>3.9746300211416492</v>
      </c>
      <c r="O133" s="9">
        <f>IF(D133="Electronics",H133*5%,IF(D133="Furniture",H133*8%,0))</f>
        <v>946</v>
      </c>
      <c r="P133">
        <f>_xlfn.RANK.EQ(H133,$H$2:$H$201,0)</f>
        <v>141</v>
      </c>
      <c r="Q133">
        <f>SUMIFS($H$2:$H$201,$B$2:$B$201,"&lt;="&amp;B133)</f>
        <v>2264035</v>
      </c>
    </row>
    <row r="134" spans="1:17" x14ac:dyDescent="0.35">
      <c r="A134">
        <v>133</v>
      </c>
      <c r="B134" s="1">
        <v>45663</v>
      </c>
      <c r="C134" t="s">
        <v>37</v>
      </c>
      <c r="D134" t="s">
        <v>18</v>
      </c>
      <c r="E134" t="s">
        <v>26</v>
      </c>
      <c r="F134" t="s">
        <v>45</v>
      </c>
      <c r="G134" t="s">
        <v>28</v>
      </c>
      <c r="H134">
        <v>17610</v>
      </c>
      <c r="I134">
        <v>12853</v>
      </c>
      <c r="J134">
        <f>H134-I134</f>
        <v>4757</v>
      </c>
      <c r="K134" s="6">
        <f>J134/H134</f>
        <v>0.2701306076093129</v>
      </c>
      <c r="L134" t="str">
        <f t="array" ref="L134">_xlfn.IFS(J134&gt;15000,"Excellent",J134&gt;=5000,"Good",J134&lt;5000,"Poor")</f>
        <v>Poor</v>
      </c>
      <c r="M134">
        <f t="array" ref="M134">_xlfn.XLOOKUP(G134,' Employee_Salary'!$A$1:A138,' Employee_Salary'!$B$1:B138,FALSE)</f>
        <v>45000</v>
      </c>
      <c r="N134" s="9">
        <f>M134/H134</f>
        <v>2.5553662691652472</v>
      </c>
      <c r="O134" s="9">
        <f>IF(D134="Electronics",H134*5%,IF(D134="Furniture",H134*8%,0))</f>
        <v>880.5</v>
      </c>
      <c r="P134">
        <f>_xlfn.RANK.EQ(H134,$H$2:$H$201,0)</f>
        <v>88</v>
      </c>
      <c r="Q134">
        <f>SUMIFS($H$2:$H$201,$B$2:$B$201,"&lt;="&amp;B134)</f>
        <v>314278</v>
      </c>
    </row>
    <row r="135" spans="1:17" x14ac:dyDescent="0.35">
      <c r="A135">
        <v>134</v>
      </c>
      <c r="B135" s="1">
        <v>45666</v>
      </c>
      <c r="C135" t="s">
        <v>9</v>
      </c>
      <c r="D135" t="s">
        <v>10</v>
      </c>
      <c r="E135" t="s">
        <v>15</v>
      </c>
      <c r="F135" t="s">
        <v>67</v>
      </c>
      <c r="G135" t="s">
        <v>33</v>
      </c>
      <c r="H135">
        <v>13456</v>
      </c>
      <c r="I135">
        <v>8137</v>
      </c>
      <c r="J135">
        <f>H135-I135</f>
        <v>5319</v>
      </c>
      <c r="K135" s="6">
        <f>J135/H135</f>
        <v>0.39528834720570749</v>
      </c>
      <c r="L135" t="str">
        <f t="array" ref="L135">_xlfn.IFS(J135&gt;15000,"Excellent",J135&gt;=5000,"Good",J135&lt;5000,"Poor")</f>
        <v>Good</v>
      </c>
      <c r="M135">
        <f t="array" ref="M135">_xlfn.XLOOKUP(G135,' Employee_Salary'!$A$1:A139,' Employee_Salary'!$B$1:B139,FALSE)</f>
        <v>42000</v>
      </c>
      <c r="N135" s="9">
        <f>M135/H135</f>
        <v>3.1212841854934603</v>
      </c>
      <c r="O135" s="9">
        <f>IF(D135="Electronics",H135*5%,IF(D135="Furniture",H135*8%,0))</f>
        <v>1076.48</v>
      </c>
      <c r="P135">
        <f>_xlfn.RANK.EQ(H135,$H$2:$H$201,0)</f>
        <v>121</v>
      </c>
      <c r="Q135">
        <f>SUMIFS($H$2:$H$201,$B$2:$B$201,"&lt;="&amp;B135)</f>
        <v>480218</v>
      </c>
    </row>
    <row r="136" spans="1:17" x14ac:dyDescent="0.35">
      <c r="A136">
        <v>135</v>
      </c>
      <c r="B136" s="1">
        <v>45689</v>
      </c>
      <c r="C136" t="s">
        <v>9</v>
      </c>
      <c r="D136" t="s">
        <v>10</v>
      </c>
      <c r="E136" t="s">
        <v>21</v>
      </c>
      <c r="F136" t="s">
        <v>50</v>
      </c>
      <c r="G136" t="s">
        <v>23</v>
      </c>
      <c r="H136">
        <v>21343</v>
      </c>
      <c r="I136">
        <v>13101</v>
      </c>
      <c r="J136">
        <f>H136-I136</f>
        <v>8242</v>
      </c>
      <c r="K136" s="6">
        <f>J136/H136</f>
        <v>0.38616876727732746</v>
      </c>
      <c r="L136" t="str">
        <f t="array" ref="L136">_xlfn.IFS(J136&gt;15000,"Excellent",J136&gt;=5000,"Good",J136&lt;5000,"Poor")</f>
        <v>Good</v>
      </c>
      <c r="M136">
        <f t="array" ref="M136">_xlfn.XLOOKUP(G136,' Employee_Salary'!$A$1:A140,' Employee_Salary'!$B$1:B140,FALSE)</f>
        <v>43000</v>
      </c>
      <c r="N136" s="9">
        <f>M136/H136</f>
        <v>2.0147120835871246</v>
      </c>
      <c r="O136" s="9">
        <f>IF(D136="Electronics",H136*5%,IF(D136="Furniture",H136*8%,0))</f>
        <v>1707.44</v>
      </c>
      <c r="P136">
        <f>_xlfn.RANK.EQ(H136,$H$2:$H$201,0)</f>
        <v>58</v>
      </c>
      <c r="Q136">
        <f>SUMIFS($H$2:$H$201,$B$2:$B$201,"&lt;="&amp;B136)</f>
        <v>1845453</v>
      </c>
    </row>
    <row r="137" spans="1:17" x14ac:dyDescent="0.35">
      <c r="A137">
        <v>136</v>
      </c>
      <c r="B137" s="1">
        <v>45669</v>
      </c>
      <c r="C137" t="s">
        <v>17</v>
      </c>
      <c r="D137" t="s">
        <v>10</v>
      </c>
      <c r="E137" t="s">
        <v>21</v>
      </c>
      <c r="F137" t="s">
        <v>66</v>
      </c>
      <c r="G137" t="s">
        <v>33</v>
      </c>
      <c r="H137">
        <v>16315</v>
      </c>
      <c r="I137">
        <v>14531</v>
      </c>
      <c r="J137">
        <f>H137-I137</f>
        <v>1784</v>
      </c>
      <c r="K137" s="6">
        <f>J137/H137</f>
        <v>0.10934722647870058</v>
      </c>
      <c r="L137" t="str">
        <f t="array" ref="L137">_xlfn.IFS(J137&gt;15000,"Excellent",J137&gt;=5000,"Good",J137&lt;5000,"Poor")</f>
        <v>Poor</v>
      </c>
      <c r="M137">
        <f t="array" ref="M137">_xlfn.XLOOKUP(G137,' Employee_Salary'!$A$1:A141,' Employee_Salary'!$B$1:B141,FALSE)</f>
        <v>42000</v>
      </c>
      <c r="N137" s="9">
        <f>M137/H137</f>
        <v>2.5743181121667176</v>
      </c>
      <c r="O137" s="9">
        <f>IF(D137="Electronics",H137*5%,IF(D137="Furniture",H137*8%,0))</f>
        <v>1305.2</v>
      </c>
      <c r="P137">
        <f>_xlfn.RANK.EQ(H137,$H$2:$H$201,0)</f>
        <v>104</v>
      </c>
      <c r="Q137">
        <f>SUMIFS($H$2:$H$201,$B$2:$B$201,"&lt;="&amp;B137)</f>
        <v>665652</v>
      </c>
    </row>
    <row r="138" spans="1:17" x14ac:dyDescent="0.35">
      <c r="A138">
        <v>137</v>
      </c>
      <c r="B138" s="1">
        <v>45677</v>
      </c>
      <c r="C138" t="s">
        <v>14</v>
      </c>
      <c r="D138" t="s">
        <v>18</v>
      </c>
      <c r="E138" t="s">
        <v>26</v>
      </c>
      <c r="F138" t="s">
        <v>61</v>
      </c>
      <c r="G138" t="s">
        <v>28</v>
      </c>
      <c r="H138">
        <v>21957</v>
      </c>
      <c r="I138">
        <v>13992</v>
      </c>
      <c r="J138">
        <f>H138-I138</f>
        <v>7965</v>
      </c>
      <c r="K138" s="6">
        <f>J138/H138</f>
        <v>0.36275447465500754</v>
      </c>
      <c r="L138" t="str">
        <f t="array" ref="L138">_xlfn.IFS(J138&gt;15000,"Excellent",J138&gt;=5000,"Good",J138&lt;5000,"Poor")</f>
        <v>Good</v>
      </c>
      <c r="M138">
        <f t="array" ref="M138">_xlfn.XLOOKUP(G138,' Employee_Salary'!$A$1:A142,' Employee_Salary'!$B$1:B142,FALSE)</f>
        <v>45000</v>
      </c>
      <c r="N138" s="9">
        <f>M138/H138</f>
        <v>2.0494603087853531</v>
      </c>
      <c r="O138" s="9">
        <f>IF(D138="Electronics",H138*5%,IF(D138="Furniture",H138*8%,0))</f>
        <v>1097.8500000000001</v>
      </c>
      <c r="P138">
        <f>_xlfn.RANK.EQ(H138,$H$2:$H$201,0)</f>
        <v>54</v>
      </c>
      <c r="Q138">
        <f>SUMIFS($H$2:$H$201,$B$2:$B$201,"&lt;="&amp;B138)</f>
        <v>1137341</v>
      </c>
    </row>
    <row r="139" spans="1:17" x14ac:dyDescent="0.35">
      <c r="A139">
        <v>138</v>
      </c>
      <c r="B139" s="1">
        <v>45695</v>
      </c>
      <c r="C139" t="s">
        <v>17</v>
      </c>
      <c r="D139" t="s">
        <v>10</v>
      </c>
      <c r="E139" t="s">
        <v>42</v>
      </c>
      <c r="F139" t="s">
        <v>38</v>
      </c>
      <c r="G139" t="s">
        <v>28</v>
      </c>
      <c r="H139">
        <v>7509</v>
      </c>
      <c r="I139">
        <v>5216</v>
      </c>
      <c r="J139">
        <f>H139-I139</f>
        <v>2293</v>
      </c>
      <c r="K139" s="6">
        <f>J139/H139</f>
        <v>0.30536689306165932</v>
      </c>
      <c r="L139" t="str">
        <f t="array" ref="L139">_xlfn.IFS(J139&gt;15000,"Excellent",J139&gt;=5000,"Good",J139&lt;5000,"Poor")</f>
        <v>Poor</v>
      </c>
      <c r="M139">
        <f t="array" ref="M139">_xlfn.XLOOKUP(G139,' Employee_Salary'!$A$1:A143,' Employee_Salary'!$B$1:B143,FALSE)</f>
        <v>45000</v>
      </c>
      <c r="N139" s="9">
        <f>M139/H139</f>
        <v>5.9928086296444265</v>
      </c>
      <c r="O139" s="9">
        <f>IF(D139="Electronics",H139*5%,IF(D139="Furniture",H139*8%,0))</f>
        <v>600.72</v>
      </c>
      <c r="P139">
        <f>_xlfn.RANK.EQ(H139,$H$2:$H$201,0)</f>
        <v>168</v>
      </c>
      <c r="Q139">
        <f>SUMIFS($H$2:$H$201,$B$2:$B$201,"&lt;="&amp;B139)</f>
        <v>2014845</v>
      </c>
    </row>
    <row r="140" spans="1:17" x14ac:dyDescent="0.35">
      <c r="A140">
        <v>139</v>
      </c>
      <c r="B140" s="1">
        <v>45671</v>
      </c>
      <c r="C140" t="s">
        <v>9</v>
      </c>
      <c r="D140" t="s">
        <v>10</v>
      </c>
      <c r="E140" t="s">
        <v>11</v>
      </c>
      <c r="F140" t="s">
        <v>72</v>
      </c>
      <c r="G140" t="s">
        <v>35</v>
      </c>
      <c r="H140">
        <v>28336</v>
      </c>
      <c r="I140">
        <v>17187</v>
      </c>
      <c r="J140">
        <f>H140-I140</f>
        <v>11149</v>
      </c>
      <c r="K140" s="6">
        <f>J140/H140</f>
        <v>0.39345708639186899</v>
      </c>
      <c r="L140" t="str">
        <f t="array" ref="L140">_xlfn.IFS(J140&gt;15000,"Excellent",J140&gt;=5000,"Good",J140&lt;5000,"Poor")</f>
        <v>Good</v>
      </c>
      <c r="M140">
        <f t="array" ref="M140">_xlfn.XLOOKUP(G140,' Employee_Salary'!$A$1:A144,' Employee_Salary'!$B$1:B144,FALSE)</f>
        <v>40000</v>
      </c>
      <c r="N140" s="9">
        <f>M140/H140</f>
        <v>1.411631846414455</v>
      </c>
      <c r="O140" s="9">
        <f>IF(D140="Electronics",H140*5%,IF(D140="Furniture",H140*8%,0))</f>
        <v>2266.88</v>
      </c>
      <c r="P140">
        <f>_xlfn.RANK.EQ(H140,$H$2:$H$201,0)</f>
        <v>9</v>
      </c>
      <c r="Q140">
        <f>SUMIFS($H$2:$H$201,$B$2:$B$201,"&lt;="&amp;B140)</f>
        <v>841403</v>
      </c>
    </row>
    <row r="141" spans="1:17" x14ac:dyDescent="0.35">
      <c r="A141">
        <v>140</v>
      </c>
      <c r="B141" s="1">
        <v>45697</v>
      </c>
      <c r="C141" t="s">
        <v>14</v>
      </c>
      <c r="D141" t="s">
        <v>10</v>
      </c>
      <c r="E141" t="s">
        <v>42</v>
      </c>
      <c r="F141" t="s">
        <v>73</v>
      </c>
      <c r="G141" t="s">
        <v>28</v>
      </c>
      <c r="H141">
        <v>7967</v>
      </c>
      <c r="I141">
        <v>6547</v>
      </c>
      <c r="J141">
        <f>H141-I141</f>
        <v>1420</v>
      </c>
      <c r="K141" s="6">
        <f>J141/H141</f>
        <v>0.17823522028367014</v>
      </c>
      <c r="L141" t="str">
        <f t="array" ref="L141">_xlfn.IFS(J141&gt;15000,"Excellent",J141&gt;=5000,"Good",J141&lt;5000,"Poor")</f>
        <v>Poor</v>
      </c>
      <c r="M141">
        <f t="array" ref="M141">_xlfn.XLOOKUP(G141,' Employee_Salary'!$A$1:A145,' Employee_Salary'!$B$1:B145,FALSE)</f>
        <v>45000</v>
      </c>
      <c r="N141" s="9">
        <f>M141/H141</f>
        <v>5.6482992343416596</v>
      </c>
      <c r="O141" s="9">
        <f>IF(D141="Electronics",H141*5%,IF(D141="Furniture",H141*8%,0))</f>
        <v>637.36</v>
      </c>
      <c r="P141">
        <f>_xlfn.RANK.EQ(H141,$H$2:$H$201,0)</f>
        <v>164</v>
      </c>
      <c r="Q141">
        <f>SUMIFS($H$2:$H$201,$B$2:$B$201,"&lt;="&amp;B141)</f>
        <v>2181315</v>
      </c>
    </row>
    <row r="142" spans="1:17" x14ac:dyDescent="0.35">
      <c r="A142">
        <v>141</v>
      </c>
      <c r="B142" s="1">
        <v>45714</v>
      </c>
      <c r="C142" t="s">
        <v>9</v>
      </c>
      <c r="D142" t="s">
        <v>18</v>
      </c>
      <c r="E142" t="s">
        <v>32</v>
      </c>
      <c r="F142" t="s">
        <v>30</v>
      </c>
      <c r="G142" t="s">
        <v>33</v>
      </c>
      <c r="H142">
        <v>9266</v>
      </c>
      <c r="I142">
        <v>7251</v>
      </c>
      <c r="J142">
        <f>H142-I142</f>
        <v>2015</v>
      </c>
      <c r="K142" s="6">
        <f>J142/H142</f>
        <v>0.2174616878912152</v>
      </c>
      <c r="L142" t="str">
        <f t="array" ref="L142">_xlfn.IFS(J142&gt;15000,"Excellent",J142&gt;=5000,"Good",J142&lt;5000,"Poor")</f>
        <v>Poor</v>
      </c>
      <c r="M142">
        <f t="array" ref="M142">_xlfn.XLOOKUP(G142,' Employee_Salary'!$A$1:A146,' Employee_Salary'!$B$1:B146,FALSE)</f>
        <v>42000</v>
      </c>
      <c r="N142" s="9">
        <f>M142/H142</f>
        <v>4.5327001942585801</v>
      </c>
      <c r="O142" s="9">
        <f>IF(D142="Electronics",H142*5%,IF(D142="Furniture",H142*8%,0))</f>
        <v>463.3</v>
      </c>
      <c r="P142">
        <f>_xlfn.RANK.EQ(H142,$H$2:$H$201,0)</f>
        <v>153</v>
      </c>
      <c r="Q142">
        <f>SUMIFS($H$2:$H$201,$B$2:$B$201,"&lt;="&amp;B142)</f>
        <v>3096876</v>
      </c>
    </row>
    <row r="143" spans="1:17" x14ac:dyDescent="0.35">
      <c r="A143">
        <v>142</v>
      </c>
      <c r="B143" s="1">
        <v>45658</v>
      </c>
      <c r="C143" t="s">
        <v>17</v>
      </c>
      <c r="D143" t="s">
        <v>18</v>
      </c>
      <c r="E143" t="s">
        <v>26</v>
      </c>
      <c r="F143" t="s">
        <v>43</v>
      </c>
      <c r="G143" t="s">
        <v>28</v>
      </c>
      <c r="H143">
        <v>18541</v>
      </c>
      <c r="I143">
        <v>12433</v>
      </c>
      <c r="J143">
        <f>H143-I143</f>
        <v>6108</v>
      </c>
      <c r="K143" s="6">
        <f>J143/H143</f>
        <v>0.32943206946766623</v>
      </c>
      <c r="L143" t="str">
        <f t="array" ref="L143">_xlfn.IFS(J143&gt;15000,"Excellent",J143&gt;=5000,"Good",J143&lt;5000,"Poor")</f>
        <v>Good</v>
      </c>
      <c r="M143">
        <f t="array" ref="M143">_xlfn.XLOOKUP(G143,' Employee_Salary'!$A$1:A147,' Employee_Salary'!$B$1:B147,FALSE)</f>
        <v>45000</v>
      </c>
      <c r="N143" s="9">
        <f>M143/H143</f>
        <v>2.4270535569818241</v>
      </c>
      <c r="O143" s="9">
        <f>IF(D143="Electronics",H143*5%,IF(D143="Furniture",H143*8%,0))</f>
        <v>927.05000000000007</v>
      </c>
      <c r="P143">
        <f>_xlfn.RANK.EQ(H143,$H$2:$H$201,0)</f>
        <v>77</v>
      </c>
      <c r="Q143">
        <f>SUMIFS($H$2:$H$201,$B$2:$B$201,"&lt;="&amp;B143)</f>
        <v>49160</v>
      </c>
    </row>
    <row r="144" spans="1:17" x14ac:dyDescent="0.35">
      <c r="A144">
        <v>143</v>
      </c>
      <c r="B144" s="1">
        <v>45700</v>
      </c>
      <c r="C144" t="s">
        <v>9</v>
      </c>
      <c r="D144" t="s">
        <v>18</v>
      </c>
      <c r="E144" t="s">
        <v>32</v>
      </c>
      <c r="F144" t="s">
        <v>74</v>
      </c>
      <c r="G144" t="s">
        <v>23</v>
      </c>
      <c r="H144">
        <v>12290</v>
      </c>
      <c r="I144">
        <v>8375</v>
      </c>
      <c r="J144">
        <f>H144-I144</f>
        <v>3915</v>
      </c>
      <c r="K144" s="6">
        <f>J144/H144</f>
        <v>0.31855166802278273</v>
      </c>
      <c r="L144" t="str">
        <f t="array" ref="L144">_xlfn.IFS(J144&gt;15000,"Excellent",J144&gt;=5000,"Good",J144&lt;5000,"Poor")</f>
        <v>Poor</v>
      </c>
      <c r="M144">
        <f t="array" ref="M144">_xlfn.XLOOKUP(G144,' Employee_Salary'!$A$1:A148,' Employee_Salary'!$B$1:B148,FALSE)</f>
        <v>43000</v>
      </c>
      <c r="N144" s="9">
        <f>M144/H144</f>
        <v>3.498779495524817</v>
      </c>
      <c r="O144" s="9">
        <f>IF(D144="Electronics",H144*5%,IF(D144="Furniture",H144*8%,0))</f>
        <v>614.5</v>
      </c>
      <c r="P144">
        <f>_xlfn.RANK.EQ(H144,$H$2:$H$201,0)</f>
        <v>136</v>
      </c>
      <c r="Q144">
        <f>SUMIFS($H$2:$H$201,$B$2:$B$201,"&lt;="&amp;B144)</f>
        <v>2334388</v>
      </c>
    </row>
    <row r="145" spans="1:17" x14ac:dyDescent="0.35">
      <c r="A145">
        <v>144</v>
      </c>
      <c r="B145" s="1">
        <v>45666</v>
      </c>
      <c r="C145" t="s">
        <v>14</v>
      </c>
      <c r="D145" t="s">
        <v>10</v>
      </c>
      <c r="E145" t="s">
        <v>15</v>
      </c>
      <c r="F145" t="s">
        <v>57</v>
      </c>
      <c r="G145" t="s">
        <v>23</v>
      </c>
      <c r="H145">
        <v>29811</v>
      </c>
      <c r="I145">
        <v>23913</v>
      </c>
      <c r="J145">
        <f>H145-I145</f>
        <v>5898</v>
      </c>
      <c r="K145" s="6">
        <f>J145/H145</f>
        <v>0.19784643252490691</v>
      </c>
      <c r="L145" t="str">
        <f t="array" ref="L145">_xlfn.IFS(J145&gt;15000,"Excellent",J145&gt;=5000,"Good",J145&lt;5000,"Poor")</f>
        <v>Good</v>
      </c>
      <c r="M145">
        <f t="array" ref="M145">_xlfn.XLOOKUP(G145,' Employee_Salary'!$A$1:A149,' Employee_Salary'!$B$1:B149,FALSE)</f>
        <v>43000</v>
      </c>
      <c r="N145" s="9">
        <f>M145/H145</f>
        <v>1.4424205830062728</v>
      </c>
      <c r="O145" s="9">
        <f>IF(D145="Electronics",H145*5%,IF(D145="Furniture",H145*8%,0))</f>
        <v>2384.88</v>
      </c>
      <c r="P145">
        <f>_xlfn.RANK.EQ(H145,$H$2:$H$201,0)</f>
        <v>1</v>
      </c>
      <c r="Q145">
        <f>SUMIFS($H$2:$H$201,$B$2:$B$201,"&lt;="&amp;B145)</f>
        <v>480218</v>
      </c>
    </row>
    <row r="146" spans="1:17" x14ac:dyDescent="0.35">
      <c r="A146">
        <v>145</v>
      </c>
      <c r="B146" s="1">
        <v>45678</v>
      </c>
      <c r="C146" t="s">
        <v>17</v>
      </c>
      <c r="D146" t="s">
        <v>18</v>
      </c>
      <c r="E146" t="s">
        <v>32</v>
      </c>
      <c r="F146" t="s">
        <v>50</v>
      </c>
      <c r="G146" t="s">
        <v>33</v>
      </c>
      <c r="H146">
        <v>3743</v>
      </c>
      <c r="I146">
        <v>2347</v>
      </c>
      <c r="J146">
        <f>H146-I146</f>
        <v>1396</v>
      </c>
      <c r="K146" s="6">
        <f>J146/H146</f>
        <v>0.37296286401282391</v>
      </c>
      <c r="L146" t="str">
        <f t="array" ref="L146">_xlfn.IFS(J146&gt;15000,"Excellent",J146&gt;=5000,"Good",J146&lt;5000,"Poor")</f>
        <v>Poor</v>
      </c>
      <c r="M146">
        <f t="array" ref="M146">_xlfn.XLOOKUP(G146,' Employee_Salary'!$A$1:A150,' Employee_Salary'!$B$1:B150,FALSE)</f>
        <v>42000</v>
      </c>
      <c r="N146" s="9">
        <f>M146/H146</f>
        <v>11.2209457654288</v>
      </c>
      <c r="O146" s="9">
        <f>IF(D146="Electronics",H146*5%,IF(D146="Furniture",H146*8%,0))</f>
        <v>187.15</v>
      </c>
      <c r="P146">
        <f>_xlfn.RANK.EQ(H146,$H$2:$H$201,0)</f>
        <v>196</v>
      </c>
      <c r="Q146">
        <f>SUMIFS($H$2:$H$201,$B$2:$B$201,"&lt;="&amp;B146)</f>
        <v>1191668</v>
      </c>
    </row>
    <row r="147" spans="1:17" x14ac:dyDescent="0.35">
      <c r="A147">
        <v>146</v>
      </c>
      <c r="B147" s="1">
        <v>45691</v>
      </c>
      <c r="C147" t="s">
        <v>14</v>
      </c>
      <c r="D147" t="s">
        <v>10</v>
      </c>
      <c r="E147" t="s">
        <v>11</v>
      </c>
      <c r="F147" t="s">
        <v>75</v>
      </c>
      <c r="G147" t="s">
        <v>33</v>
      </c>
      <c r="H147">
        <v>12655</v>
      </c>
      <c r="I147">
        <v>10478</v>
      </c>
      <c r="J147">
        <f>H147-I147</f>
        <v>2177</v>
      </c>
      <c r="K147" s="6">
        <f>J147/H147</f>
        <v>0.17202686685104701</v>
      </c>
      <c r="L147" t="str">
        <f t="array" ref="L147">_xlfn.IFS(J147&gt;15000,"Excellent",J147&gt;=5000,"Good",J147&lt;5000,"Poor")</f>
        <v>Poor</v>
      </c>
      <c r="M147">
        <f t="array" ref="M147">_xlfn.XLOOKUP(G147,' Employee_Salary'!$A$1:A151,' Employee_Salary'!$B$1:B151,FALSE)</f>
        <v>42000</v>
      </c>
      <c r="N147" s="9">
        <f>M147/H147</f>
        <v>3.3188463058079809</v>
      </c>
      <c r="O147" s="9">
        <f>IF(D147="Electronics",H147*5%,IF(D147="Furniture",H147*8%,0))</f>
        <v>1012.4</v>
      </c>
      <c r="P147">
        <f>_xlfn.RANK.EQ(H147,$H$2:$H$201,0)</f>
        <v>131</v>
      </c>
      <c r="Q147">
        <f>SUMIFS($H$2:$H$201,$B$2:$B$201,"&lt;="&amp;B147)</f>
        <v>1908942</v>
      </c>
    </row>
    <row r="148" spans="1:17" x14ac:dyDescent="0.35">
      <c r="A148">
        <v>147</v>
      </c>
      <c r="B148" s="1">
        <v>45665</v>
      </c>
      <c r="C148" t="s">
        <v>9</v>
      </c>
      <c r="D148" t="s">
        <v>18</v>
      </c>
      <c r="E148" t="s">
        <v>26</v>
      </c>
      <c r="F148" t="s">
        <v>53</v>
      </c>
      <c r="G148" t="s">
        <v>23</v>
      </c>
      <c r="H148">
        <v>19492</v>
      </c>
      <c r="I148">
        <v>15052</v>
      </c>
      <c r="J148">
        <f>H148-I148</f>
        <v>4440</v>
      </c>
      <c r="K148" s="6">
        <f>J148/H148</f>
        <v>0.22778575825979888</v>
      </c>
      <c r="L148" t="str">
        <f t="array" ref="L148">_xlfn.IFS(J148&gt;15000,"Excellent",J148&gt;=5000,"Good",J148&lt;5000,"Poor")</f>
        <v>Poor</v>
      </c>
      <c r="M148">
        <f t="array" ref="M148">_xlfn.XLOOKUP(G148,' Employee_Salary'!$A$1:A152,' Employee_Salary'!$B$1:B152,FALSE)</f>
        <v>43000</v>
      </c>
      <c r="N148" s="9">
        <f>M148/H148</f>
        <v>2.2060332444079624</v>
      </c>
      <c r="O148" s="9">
        <f>IF(D148="Electronics",H148*5%,IF(D148="Furniture",H148*8%,0))</f>
        <v>974.6</v>
      </c>
      <c r="P148">
        <f>_xlfn.RANK.EQ(H148,$H$2:$H$201,0)</f>
        <v>71</v>
      </c>
      <c r="Q148">
        <f>SUMIFS($H$2:$H$201,$B$2:$B$201,"&lt;="&amp;B148)</f>
        <v>358220</v>
      </c>
    </row>
    <row r="149" spans="1:17" x14ac:dyDescent="0.35">
      <c r="A149">
        <v>148</v>
      </c>
      <c r="B149" s="1">
        <v>45686</v>
      </c>
      <c r="C149" t="s">
        <v>9</v>
      </c>
      <c r="D149" t="s">
        <v>18</v>
      </c>
      <c r="E149" t="s">
        <v>19</v>
      </c>
      <c r="F149" t="s">
        <v>76</v>
      </c>
      <c r="G149" t="s">
        <v>23</v>
      </c>
      <c r="H149">
        <v>23823</v>
      </c>
      <c r="I149">
        <v>15138</v>
      </c>
      <c r="J149">
        <f>H149-I149</f>
        <v>8685</v>
      </c>
      <c r="K149" s="6">
        <f>J149/H149</f>
        <v>0.36456365697015491</v>
      </c>
      <c r="L149" t="str">
        <f t="array" ref="L149">_xlfn.IFS(J149&gt;15000,"Excellent",J149&gt;=5000,"Good",J149&lt;5000,"Poor")</f>
        <v>Good</v>
      </c>
      <c r="M149">
        <f t="array" ref="M149">_xlfn.XLOOKUP(G149,' Employee_Salary'!$A$1:A153,' Employee_Salary'!$B$1:B153,FALSE)</f>
        <v>43000</v>
      </c>
      <c r="N149" s="9">
        <f>M149/H149</f>
        <v>1.8049783822356547</v>
      </c>
      <c r="O149" s="9">
        <f>IF(D149="Electronics",H149*5%,IF(D149="Furniture",H149*8%,0))</f>
        <v>1191.1500000000001</v>
      </c>
      <c r="P149">
        <f>_xlfn.RANK.EQ(H149,$H$2:$H$201,0)</f>
        <v>38</v>
      </c>
      <c r="Q149">
        <f>SUMIFS($H$2:$H$201,$B$2:$B$201,"&lt;="&amp;B149)</f>
        <v>1678740</v>
      </c>
    </row>
    <row r="150" spans="1:17" x14ac:dyDescent="0.35">
      <c r="A150">
        <v>149</v>
      </c>
      <c r="B150" s="1">
        <v>45663</v>
      </c>
      <c r="C150" t="s">
        <v>37</v>
      </c>
      <c r="D150" t="s">
        <v>18</v>
      </c>
      <c r="E150" t="s">
        <v>32</v>
      </c>
      <c r="F150" t="s">
        <v>65</v>
      </c>
      <c r="G150" t="s">
        <v>13</v>
      </c>
      <c r="H150">
        <v>12233</v>
      </c>
      <c r="I150">
        <v>8248</v>
      </c>
      <c r="J150">
        <f>H150-I150</f>
        <v>3985</v>
      </c>
      <c r="K150" s="6">
        <f>J150/H150</f>
        <v>0.32575819504618653</v>
      </c>
      <c r="L150" t="str">
        <f t="array" ref="L150">_xlfn.IFS(J150&gt;15000,"Excellent",J150&gt;=5000,"Good",J150&lt;5000,"Poor")</f>
        <v>Poor</v>
      </c>
      <c r="M150">
        <f t="array" ref="M150">_xlfn.XLOOKUP(G150,' Employee_Salary'!$A$1:A154,' Employee_Salary'!$B$1:B154,FALSE)</f>
        <v>47000</v>
      </c>
      <c r="N150" s="9">
        <f>M150/H150</f>
        <v>3.842066541322652</v>
      </c>
      <c r="O150" s="9">
        <f>IF(D150="Electronics",H150*5%,IF(D150="Furniture",H150*8%,0))</f>
        <v>611.65</v>
      </c>
      <c r="P150">
        <f>_xlfn.RANK.EQ(H150,$H$2:$H$201,0)</f>
        <v>138</v>
      </c>
      <c r="Q150">
        <f>SUMIFS($H$2:$H$201,$B$2:$B$201,"&lt;="&amp;B150)</f>
        <v>314278</v>
      </c>
    </row>
    <row r="151" spans="1:17" x14ac:dyDescent="0.35">
      <c r="A151">
        <v>150</v>
      </c>
      <c r="B151" s="1">
        <v>45699</v>
      </c>
      <c r="C151" t="s">
        <v>17</v>
      </c>
      <c r="D151" t="s">
        <v>10</v>
      </c>
      <c r="E151" t="s">
        <v>42</v>
      </c>
      <c r="F151" t="s">
        <v>58</v>
      </c>
      <c r="G151" t="s">
        <v>28</v>
      </c>
      <c r="H151">
        <v>3003</v>
      </c>
      <c r="I151">
        <v>2190</v>
      </c>
      <c r="J151">
        <f>H151-I151</f>
        <v>813</v>
      </c>
      <c r="K151" s="6">
        <f>J151/H151</f>
        <v>0.27072927072927072</v>
      </c>
      <c r="L151" t="str">
        <f t="array" ref="L151">_xlfn.IFS(J151&gt;15000,"Excellent",J151&gt;=5000,"Good",J151&lt;5000,"Poor")</f>
        <v>Poor</v>
      </c>
      <c r="M151">
        <f t="array" ref="M151">_xlfn.XLOOKUP(G151,' Employee_Salary'!$A$1:A155,' Employee_Salary'!$B$1:B155,FALSE)</f>
        <v>45000</v>
      </c>
      <c r="N151" s="9">
        <f>M151/H151</f>
        <v>14.985014985014985</v>
      </c>
      <c r="O151" s="9">
        <f>IF(D151="Electronics",H151*5%,IF(D151="Furniture",H151*8%,0))</f>
        <v>240.24</v>
      </c>
      <c r="P151">
        <f>_xlfn.RANK.EQ(H151,$H$2:$H$201,0)</f>
        <v>200</v>
      </c>
      <c r="Q151">
        <f>SUMIFS($H$2:$H$201,$B$2:$B$201,"&lt;="&amp;B151)</f>
        <v>2264035</v>
      </c>
    </row>
    <row r="152" spans="1:17" x14ac:dyDescent="0.35">
      <c r="A152">
        <v>151</v>
      </c>
      <c r="B152" s="1">
        <v>45680</v>
      </c>
      <c r="C152" t="s">
        <v>37</v>
      </c>
      <c r="D152" t="s">
        <v>18</v>
      </c>
      <c r="E152" t="s">
        <v>26</v>
      </c>
      <c r="F152" t="s">
        <v>44</v>
      </c>
      <c r="G152" t="s">
        <v>13</v>
      </c>
      <c r="H152">
        <v>21525</v>
      </c>
      <c r="I152">
        <v>15170</v>
      </c>
      <c r="J152">
        <f>H152-I152</f>
        <v>6355</v>
      </c>
      <c r="K152" s="6">
        <f>J152/H152</f>
        <v>0.29523809523809524</v>
      </c>
      <c r="L152" t="str">
        <f t="array" ref="L152">_xlfn.IFS(J152&gt;15000,"Excellent",J152&gt;=5000,"Good",J152&lt;5000,"Poor")</f>
        <v>Good</v>
      </c>
      <c r="M152">
        <f t="array" ref="M152">_xlfn.XLOOKUP(G152,' Employee_Salary'!$A$1:A156,' Employee_Salary'!$B$1:B156,FALSE)</f>
        <v>47000</v>
      </c>
      <c r="N152" s="9">
        <f>M152/H152</f>
        <v>2.1835075493612077</v>
      </c>
      <c r="O152" s="9">
        <f>IF(D152="Electronics",H152*5%,IF(D152="Furniture",H152*8%,0))</f>
        <v>1076.25</v>
      </c>
      <c r="P152">
        <f>_xlfn.RANK.EQ(H152,$H$2:$H$201,0)</f>
        <v>56</v>
      </c>
      <c r="Q152">
        <f>SUMIFS($H$2:$H$201,$B$2:$B$201,"&lt;="&amp;B152)</f>
        <v>1349916</v>
      </c>
    </row>
    <row r="153" spans="1:17" x14ac:dyDescent="0.35">
      <c r="A153">
        <v>152</v>
      </c>
      <c r="B153" s="1">
        <v>45685</v>
      </c>
      <c r="C153" t="s">
        <v>9</v>
      </c>
      <c r="D153" t="s">
        <v>10</v>
      </c>
      <c r="E153" t="s">
        <v>11</v>
      </c>
      <c r="F153" t="s">
        <v>12</v>
      </c>
      <c r="G153" t="s">
        <v>35</v>
      </c>
      <c r="H153">
        <v>21312</v>
      </c>
      <c r="I153">
        <v>18369</v>
      </c>
      <c r="J153">
        <f>H153-I153</f>
        <v>2943</v>
      </c>
      <c r="K153" s="6">
        <f>J153/H153</f>
        <v>0.13809121621621623</v>
      </c>
      <c r="L153" t="str">
        <f t="array" ref="L153">_xlfn.IFS(J153&gt;15000,"Excellent",J153&gt;=5000,"Good",J153&lt;5000,"Poor")</f>
        <v>Poor</v>
      </c>
      <c r="M153">
        <f t="array" ref="M153">_xlfn.XLOOKUP(G153,' Employee_Salary'!$A$1:A157,' Employee_Salary'!$B$1:B157,FALSE)</f>
        <v>40000</v>
      </c>
      <c r="N153" s="9">
        <f>M153/H153</f>
        <v>1.8768768768768769</v>
      </c>
      <c r="O153" s="9">
        <f>IF(D153="Electronics",H153*5%,IF(D153="Furniture",H153*8%,0))</f>
        <v>1704.96</v>
      </c>
      <c r="P153">
        <f>_xlfn.RANK.EQ(H153,$H$2:$H$201,0)</f>
        <v>59</v>
      </c>
      <c r="Q153">
        <f>SUMIFS($H$2:$H$201,$B$2:$B$201,"&lt;="&amp;B153)</f>
        <v>1648974</v>
      </c>
    </row>
    <row r="154" spans="1:17" x14ac:dyDescent="0.35">
      <c r="A154">
        <v>153</v>
      </c>
      <c r="B154" s="1">
        <v>45663</v>
      </c>
      <c r="C154" t="s">
        <v>9</v>
      </c>
      <c r="D154" t="s">
        <v>18</v>
      </c>
      <c r="E154" t="s">
        <v>29</v>
      </c>
      <c r="F154" t="s">
        <v>75</v>
      </c>
      <c r="G154" t="s">
        <v>35</v>
      </c>
      <c r="H154">
        <v>8413</v>
      </c>
      <c r="I154">
        <v>6580</v>
      </c>
      <c r="J154">
        <f>H154-I154</f>
        <v>1833</v>
      </c>
      <c r="K154" s="6">
        <f>J154/H154</f>
        <v>0.21787709497206703</v>
      </c>
      <c r="L154" t="str">
        <f t="array" ref="L154">_xlfn.IFS(J154&gt;15000,"Excellent",J154&gt;=5000,"Good",J154&lt;5000,"Poor")</f>
        <v>Poor</v>
      </c>
      <c r="M154">
        <f t="array" ref="M154">_xlfn.XLOOKUP(G154,' Employee_Salary'!$A$1:A158,' Employee_Salary'!$B$1:B158,FALSE)</f>
        <v>40000</v>
      </c>
      <c r="N154" s="9">
        <f>M154/H154</f>
        <v>4.7545465351242129</v>
      </c>
      <c r="O154" s="9">
        <f>IF(D154="Electronics",H154*5%,IF(D154="Furniture",H154*8%,0))</f>
        <v>420.65000000000003</v>
      </c>
      <c r="P154">
        <f>_xlfn.RANK.EQ(H154,$H$2:$H$201,0)</f>
        <v>160</v>
      </c>
      <c r="Q154">
        <f>SUMIFS($H$2:$H$201,$B$2:$B$201,"&lt;="&amp;B154)</f>
        <v>314278</v>
      </c>
    </row>
    <row r="155" spans="1:17" x14ac:dyDescent="0.35">
      <c r="A155">
        <v>154</v>
      </c>
      <c r="B155" s="1">
        <v>45662</v>
      </c>
      <c r="C155" t="s">
        <v>17</v>
      </c>
      <c r="D155" t="s">
        <v>10</v>
      </c>
      <c r="E155" t="s">
        <v>21</v>
      </c>
      <c r="F155" t="s">
        <v>20</v>
      </c>
      <c r="G155" t="s">
        <v>33</v>
      </c>
      <c r="H155">
        <v>4693</v>
      </c>
      <c r="I155">
        <v>3566</v>
      </c>
      <c r="J155">
        <f>H155-I155</f>
        <v>1127</v>
      </c>
      <c r="K155" s="6">
        <f>J155/H155</f>
        <v>0.24014489665459193</v>
      </c>
      <c r="L155" t="str">
        <f t="array" ref="L155">_xlfn.IFS(J155&gt;15000,"Excellent",J155&gt;=5000,"Good",J155&lt;5000,"Poor")</f>
        <v>Poor</v>
      </c>
      <c r="M155">
        <f t="array" ref="M155">_xlfn.XLOOKUP(G155,' Employee_Salary'!$A$1:A159,' Employee_Salary'!$B$1:B159,FALSE)</f>
        <v>42000</v>
      </c>
      <c r="N155" s="9">
        <f>M155/H155</f>
        <v>8.949499254208396</v>
      </c>
      <c r="O155" s="9">
        <f>IF(D155="Electronics",H155*5%,IF(D155="Furniture",H155*8%,0))</f>
        <v>375.44</v>
      </c>
      <c r="P155">
        <f>_xlfn.RANK.EQ(H155,$H$2:$H$201,0)</f>
        <v>190</v>
      </c>
      <c r="Q155">
        <f>SUMIFS($H$2:$H$201,$B$2:$B$201,"&lt;="&amp;B155)</f>
        <v>226223</v>
      </c>
    </row>
    <row r="156" spans="1:17" x14ac:dyDescent="0.35">
      <c r="A156">
        <v>155</v>
      </c>
      <c r="B156" s="1">
        <v>45677</v>
      </c>
      <c r="C156" t="s">
        <v>9</v>
      </c>
      <c r="D156" t="s">
        <v>18</v>
      </c>
      <c r="E156" t="s">
        <v>32</v>
      </c>
      <c r="F156" t="s">
        <v>24</v>
      </c>
      <c r="G156" t="s">
        <v>35</v>
      </c>
      <c r="H156">
        <v>24941</v>
      </c>
      <c r="I156">
        <v>19960</v>
      </c>
      <c r="J156">
        <f>H156-I156</f>
        <v>4981</v>
      </c>
      <c r="K156" s="6">
        <f>J156/H156</f>
        <v>0.19971131871216069</v>
      </c>
      <c r="L156" t="str">
        <f t="array" ref="L156">_xlfn.IFS(J156&gt;15000,"Excellent",J156&gt;=5000,"Good",J156&lt;5000,"Poor")</f>
        <v>Poor</v>
      </c>
      <c r="M156">
        <f t="array" ref="M156">_xlfn.XLOOKUP(G156,' Employee_Salary'!$A$1:A160,' Employee_Salary'!$B$1:B160,FALSE)</f>
        <v>40000</v>
      </c>
      <c r="N156" s="9">
        <f>M156/H156</f>
        <v>1.6037849324405598</v>
      </c>
      <c r="O156" s="9">
        <f>IF(D156="Electronics",H156*5%,IF(D156="Furniture",H156*8%,0))</f>
        <v>1247.0500000000002</v>
      </c>
      <c r="P156">
        <f>_xlfn.RANK.EQ(H156,$H$2:$H$201,0)</f>
        <v>31</v>
      </c>
      <c r="Q156">
        <f>SUMIFS($H$2:$H$201,$B$2:$B$201,"&lt;="&amp;B156)</f>
        <v>1137341</v>
      </c>
    </row>
    <row r="157" spans="1:17" x14ac:dyDescent="0.35">
      <c r="A157">
        <v>156</v>
      </c>
      <c r="B157" s="1">
        <v>45713</v>
      </c>
      <c r="C157" t="s">
        <v>9</v>
      </c>
      <c r="D157" t="s">
        <v>18</v>
      </c>
      <c r="E157" t="s">
        <v>19</v>
      </c>
      <c r="F157" t="s">
        <v>31</v>
      </c>
      <c r="G157" t="s">
        <v>33</v>
      </c>
      <c r="H157">
        <v>22511</v>
      </c>
      <c r="I157">
        <v>16616</v>
      </c>
      <c r="J157">
        <f>H157-I157</f>
        <v>5895</v>
      </c>
      <c r="K157" s="6">
        <f>J157/H157</f>
        <v>0.26187197370174581</v>
      </c>
      <c r="L157" t="str">
        <f t="array" ref="L157">_xlfn.IFS(J157&gt;15000,"Excellent",J157&gt;=5000,"Good",J157&lt;5000,"Poor")</f>
        <v>Good</v>
      </c>
      <c r="M157">
        <f t="array" ref="M157">_xlfn.XLOOKUP(G157,' Employee_Salary'!$A$1:A161,' Employee_Salary'!$B$1:B161,FALSE)</f>
        <v>42000</v>
      </c>
      <c r="N157" s="9">
        <f>M157/H157</f>
        <v>1.8657545200124384</v>
      </c>
      <c r="O157" s="9">
        <f>IF(D157="Electronics",H157*5%,IF(D157="Furniture",H157*8%,0))</f>
        <v>1125.55</v>
      </c>
      <c r="P157">
        <f>_xlfn.RANK.EQ(H157,$H$2:$H$201,0)</f>
        <v>49</v>
      </c>
      <c r="Q157">
        <f>SUMIFS($H$2:$H$201,$B$2:$B$201,"&lt;="&amp;B157)</f>
        <v>3053221</v>
      </c>
    </row>
    <row r="158" spans="1:17" x14ac:dyDescent="0.35">
      <c r="A158">
        <v>157</v>
      </c>
      <c r="B158" s="1">
        <v>45672</v>
      </c>
      <c r="C158" t="s">
        <v>17</v>
      </c>
      <c r="D158" t="s">
        <v>10</v>
      </c>
      <c r="E158" t="s">
        <v>42</v>
      </c>
      <c r="F158" t="s">
        <v>38</v>
      </c>
      <c r="G158" t="s">
        <v>35</v>
      </c>
      <c r="H158">
        <v>13946</v>
      </c>
      <c r="I158">
        <v>12354</v>
      </c>
      <c r="J158">
        <f>H158-I158</f>
        <v>1592</v>
      </c>
      <c r="K158" s="6">
        <f>J158/H158</f>
        <v>0.11415459630001434</v>
      </c>
      <c r="L158" t="str">
        <f t="array" ref="L158">_xlfn.IFS(J158&gt;15000,"Excellent",J158&gt;=5000,"Good",J158&lt;5000,"Poor")</f>
        <v>Poor</v>
      </c>
      <c r="M158">
        <f t="array" ref="M158">_xlfn.XLOOKUP(G158,' Employee_Salary'!$A$1:A162,' Employee_Salary'!$B$1:B162,FALSE)</f>
        <v>40000</v>
      </c>
      <c r="N158" s="9">
        <f>M158/H158</f>
        <v>2.86820593718629</v>
      </c>
      <c r="O158" s="9">
        <f>IF(D158="Electronics",H158*5%,IF(D158="Furniture",H158*8%,0))</f>
        <v>1115.68</v>
      </c>
      <c r="P158">
        <f>_xlfn.RANK.EQ(H158,$H$2:$H$201,0)</f>
        <v>113</v>
      </c>
      <c r="Q158">
        <f>SUMIFS($H$2:$H$201,$B$2:$B$201,"&lt;="&amp;B158)</f>
        <v>876591</v>
      </c>
    </row>
    <row r="159" spans="1:17" x14ac:dyDescent="0.35">
      <c r="A159">
        <v>158</v>
      </c>
      <c r="B159" s="1">
        <v>45672</v>
      </c>
      <c r="C159" t="s">
        <v>9</v>
      </c>
      <c r="D159" t="s">
        <v>10</v>
      </c>
      <c r="E159" t="s">
        <v>21</v>
      </c>
      <c r="F159" t="s">
        <v>63</v>
      </c>
      <c r="G159" t="s">
        <v>23</v>
      </c>
      <c r="H159">
        <v>21242</v>
      </c>
      <c r="I159">
        <v>14098</v>
      </c>
      <c r="J159">
        <f>H159-I159</f>
        <v>7144</v>
      </c>
      <c r="K159" s="6">
        <f>J159/H159</f>
        <v>0.3363148479427549</v>
      </c>
      <c r="L159" t="str">
        <f t="array" ref="L159">_xlfn.IFS(J159&gt;15000,"Excellent",J159&gt;=5000,"Good",J159&lt;5000,"Poor")</f>
        <v>Good</v>
      </c>
      <c r="M159">
        <f t="array" ref="M159">_xlfn.XLOOKUP(G159,' Employee_Salary'!$A$1:A163,' Employee_Salary'!$B$1:B163,FALSE)</f>
        <v>43000</v>
      </c>
      <c r="N159" s="9">
        <f>M159/H159</f>
        <v>2.0242914979757085</v>
      </c>
      <c r="O159" s="9">
        <f>IF(D159="Electronics",H159*5%,IF(D159="Furniture",H159*8%,0))</f>
        <v>1699.3600000000001</v>
      </c>
      <c r="P159">
        <f>_xlfn.RANK.EQ(H159,$H$2:$H$201,0)</f>
        <v>60</v>
      </c>
      <c r="Q159">
        <f>SUMIFS($H$2:$H$201,$B$2:$B$201,"&lt;="&amp;B159)</f>
        <v>876591</v>
      </c>
    </row>
    <row r="160" spans="1:17" x14ac:dyDescent="0.35">
      <c r="A160">
        <v>159</v>
      </c>
      <c r="B160" s="1">
        <v>45697</v>
      </c>
      <c r="C160" t="s">
        <v>9</v>
      </c>
      <c r="D160" t="s">
        <v>18</v>
      </c>
      <c r="E160" t="s">
        <v>32</v>
      </c>
      <c r="F160" t="s">
        <v>31</v>
      </c>
      <c r="G160" t="s">
        <v>28</v>
      </c>
      <c r="H160">
        <v>22822</v>
      </c>
      <c r="I160">
        <v>18664</v>
      </c>
      <c r="J160">
        <f>H160-I160</f>
        <v>4158</v>
      </c>
      <c r="K160" s="6">
        <f>J160/H160</f>
        <v>0.18219262115502585</v>
      </c>
      <c r="L160" t="str">
        <f t="array" ref="L160">_xlfn.IFS(J160&gt;15000,"Excellent",J160&gt;=5000,"Good",J160&lt;5000,"Poor")</f>
        <v>Poor</v>
      </c>
      <c r="M160">
        <f t="array" ref="M160">_xlfn.XLOOKUP(G160,' Employee_Salary'!$A$1:A164,' Employee_Salary'!$B$1:B164,FALSE)</f>
        <v>45000</v>
      </c>
      <c r="N160" s="9">
        <f>M160/H160</f>
        <v>1.9717816142318816</v>
      </c>
      <c r="O160" s="9">
        <f>IF(D160="Electronics",H160*5%,IF(D160="Furniture",H160*8%,0))</f>
        <v>1141.1000000000001</v>
      </c>
      <c r="P160">
        <f>_xlfn.RANK.EQ(H160,$H$2:$H$201,0)</f>
        <v>44</v>
      </c>
      <c r="Q160">
        <f>SUMIFS($H$2:$H$201,$B$2:$B$201,"&lt;="&amp;B160)</f>
        <v>2181315</v>
      </c>
    </row>
    <row r="161" spans="1:17" x14ac:dyDescent="0.35">
      <c r="A161">
        <v>160</v>
      </c>
      <c r="B161" s="1">
        <v>45679</v>
      </c>
      <c r="C161" t="s">
        <v>14</v>
      </c>
      <c r="D161" t="s">
        <v>10</v>
      </c>
      <c r="E161" t="s">
        <v>11</v>
      </c>
      <c r="F161" t="s">
        <v>64</v>
      </c>
      <c r="G161" t="s">
        <v>23</v>
      </c>
      <c r="H161">
        <v>14825</v>
      </c>
      <c r="I161">
        <v>10070</v>
      </c>
      <c r="J161">
        <f>H161-I161</f>
        <v>4755</v>
      </c>
      <c r="K161" s="6">
        <f>J161/H161</f>
        <v>0.32074198988195618</v>
      </c>
      <c r="L161" t="str">
        <f t="array" ref="L161">_xlfn.IFS(J161&gt;15000,"Excellent",J161&gt;=5000,"Good",J161&lt;5000,"Poor")</f>
        <v>Poor</v>
      </c>
      <c r="M161">
        <f t="array" ref="M161">_xlfn.XLOOKUP(G161,' Employee_Salary'!$A$1:A165,' Employee_Salary'!$B$1:B165,FALSE)</f>
        <v>43000</v>
      </c>
      <c r="N161" s="9">
        <f>M161/H161</f>
        <v>2.900505902192243</v>
      </c>
      <c r="O161" s="9">
        <f>IF(D161="Electronics",H161*5%,IF(D161="Furniture",H161*8%,0))</f>
        <v>1186</v>
      </c>
      <c r="P161">
        <f>_xlfn.RANK.EQ(H161,$H$2:$H$201,0)</f>
        <v>109</v>
      </c>
      <c r="Q161">
        <f>SUMIFS($H$2:$H$201,$B$2:$B$201,"&lt;="&amp;B161)</f>
        <v>1247618</v>
      </c>
    </row>
    <row r="162" spans="1:17" x14ac:dyDescent="0.35">
      <c r="A162">
        <v>161</v>
      </c>
      <c r="B162" s="1">
        <v>45666</v>
      </c>
      <c r="C162" t="s">
        <v>9</v>
      </c>
      <c r="D162" t="s">
        <v>18</v>
      </c>
      <c r="E162" t="s">
        <v>29</v>
      </c>
      <c r="F162" t="s">
        <v>22</v>
      </c>
      <c r="G162" t="s">
        <v>28</v>
      </c>
      <c r="H162">
        <v>10106</v>
      </c>
      <c r="I162">
        <v>9039</v>
      </c>
      <c r="J162">
        <f>H162-I162</f>
        <v>1067</v>
      </c>
      <c r="K162" s="6">
        <f>J162/H162</f>
        <v>0.10558084306352662</v>
      </c>
      <c r="L162" t="str">
        <f t="array" ref="L162">_xlfn.IFS(J162&gt;15000,"Excellent",J162&gt;=5000,"Good",J162&lt;5000,"Poor")</f>
        <v>Poor</v>
      </c>
      <c r="M162">
        <f t="array" ref="M162">_xlfn.XLOOKUP(G162,' Employee_Salary'!$A$1:A166,' Employee_Salary'!$B$1:B166,FALSE)</f>
        <v>45000</v>
      </c>
      <c r="N162" s="9">
        <f>M162/H162</f>
        <v>4.4528003166435779</v>
      </c>
      <c r="O162" s="9">
        <f>IF(D162="Electronics",H162*5%,IF(D162="Furniture",H162*8%,0))</f>
        <v>505.3</v>
      </c>
      <c r="P162">
        <f>_xlfn.RANK.EQ(H162,$H$2:$H$201,0)</f>
        <v>150</v>
      </c>
      <c r="Q162">
        <f>SUMIFS($H$2:$H$201,$B$2:$B$201,"&lt;="&amp;B162)</f>
        <v>480218</v>
      </c>
    </row>
    <row r="163" spans="1:17" x14ac:dyDescent="0.35">
      <c r="A163">
        <v>162</v>
      </c>
      <c r="B163" s="1">
        <v>45666</v>
      </c>
      <c r="C163" t="s">
        <v>17</v>
      </c>
      <c r="D163" t="s">
        <v>18</v>
      </c>
      <c r="E163" t="s">
        <v>29</v>
      </c>
      <c r="F163" t="s">
        <v>30</v>
      </c>
      <c r="G163" t="s">
        <v>33</v>
      </c>
      <c r="H163">
        <v>24181</v>
      </c>
      <c r="I163">
        <v>17254</v>
      </c>
      <c r="J163">
        <f>H163-I163</f>
        <v>6927</v>
      </c>
      <c r="K163" s="6">
        <f>J163/H163</f>
        <v>0.28646457962863403</v>
      </c>
      <c r="L163" t="str">
        <f t="array" ref="L163">_xlfn.IFS(J163&gt;15000,"Excellent",J163&gt;=5000,"Good",J163&lt;5000,"Poor")</f>
        <v>Good</v>
      </c>
      <c r="M163">
        <f t="array" ref="M163">_xlfn.XLOOKUP(G163,' Employee_Salary'!$A$1:A167,' Employee_Salary'!$B$1:B167,FALSE)</f>
        <v>42000</v>
      </c>
      <c r="N163" s="9">
        <f>M163/H163</f>
        <v>1.7369008725859145</v>
      </c>
      <c r="O163" s="9">
        <f>IF(D163="Electronics",H163*5%,IF(D163="Furniture",H163*8%,0))</f>
        <v>1209.05</v>
      </c>
      <c r="P163">
        <f>_xlfn.RANK.EQ(H163,$H$2:$H$201,0)</f>
        <v>35</v>
      </c>
      <c r="Q163">
        <f>SUMIFS($H$2:$H$201,$B$2:$B$201,"&lt;="&amp;B163)</f>
        <v>480218</v>
      </c>
    </row>
    <row r="164" spans="1:17" x14ac:dyDescent="0.35">
      <c r="A164">
        <v>163</v>
      </c>
      <c r="B164" s="1">
        <v>45691</v>
      </c>
      <c r="C164" t="s">
        <v>37</v>
      </c>
      <c r="D164" t="s">
        <v>10</v>
      </c>
      <c r="E164" t="s">
        <v>11</v>
      </c>
      <c r="F164" t="s">
        <v>73</v>
      </c>
      <c r="G164" t="s">
        <v>23</v>
      </c>
      <c r="H164">
        <v>8789</v>
      </c>
      <c r="I164">
        <v>6768</v>
      </c>
      <c r="J164">
        <f>H164-I164</f>
        <v>2021</v>
      </c>
      <c r="K164" s="6">
        <f>J164/H164</f>
        <v>0.22994652406417113</v>
      </c>
      <c r="L164" t="str">
        <f t="array" ref="L164">_xlfn.IFS(J164&gt;15000,"Excellent",J164&gt;=5000,"Good",J164&lt;5000,"Poor")</f>
        <v>Poor</v>
      </c>
      <c r="M164">
        <f t="array" ref="M164">_xlfn.XLOOKUP(G164,' Employee_Salary'!$A$1:A168,' Employee_Salary'!$B$1:B168,FALSE)</f>
        <v>43000</v>
      </c>
      <c r="N164" s="9">
        <f>M164/H164</f>
        <v>4.8924792354078965</v>
      </c>
      <c r="O164" s="9">
        <f>IF(D164="Electronics",H164*5%,IF(D164="Furniture",H164*8%,0))</f>
        <v>703.12</v>
      </c>
      <c r="P164">
        <f>_xlfn.RANK.EQ(H164,$H$2:$H$201,0)</f>
        <v>159</v>
      </c>
      <c r="Q164">
        <f>SUMIFS($H$2:$H$201,$B$2:$B$201,"&lt;="&amp;B164)</f>
        <v>1908942</v>
      </c>
    </row>
    <row r="165" spans="1:17" x14ac:dyDescent="0.35">
      <c r="A165">
        <v>164</v>
      </c>
      <c r="B165" s="1">
        <v>45658</v>
      </c>
      <c r="C165" t="s">
        <v>17</v>
      </c>
      <c r="D165" t="s">
        <v>10</v>
      </c>
      <c r="E165" t="s">
        <v>42</v>
      </c>
      <c r="F165" t="s">
        <v>56</v>
      </c>
      <c r="G165" t="s">
        <v>23</v>
      </c>
      <c r="H165">
        <v>17609</v>
      </c>
      <c r="I165">
        <v>13022</v>
      </c>
      <c r="J165">
        <f>H165-I165</f>
        <v>4587</v>
      </c>
      <c r="K165" s="6">
        <f>J165/H165</f>
        <v>0.26049179396899313</v>
      </c>
      <c r="L165" t="str">
        <f t="array" ref="L165">_xlfn.IFS(J165&gt;15000,"Excellent",J165&gt;=5000,"Good",J165&lt;5000,"Poor")</f>
        <v>Poor</v>
      </c>
      <c r="M165">
        <f t="array" ref="M165">_xlfn.XLOOKUP(G165,' Employee_Salary'!$A$1:A169,' Employee_Salary'!$B$1:B169,FALSE)</f>
        <v>43000</v>
      </c>
      <c r="N165" s="9">
        <f>M165/H165</f>
        <v>2.4419331023908231</v>
      </c>
      <c r="O165" s="9">
        <f>IF(D165="Electronics",H165*5%,IF(D165="Furniture",H165*8%,0))</f>
        <v>1408.72</v>
      </c>
      <c r="P165">
        <f>_xlfn.RANK.EQ(H165,$H$2:$H$201,0)</f>
        <v>89</v>
      </c>
      <c r="Q165">
        <f>SUMIFS($H$2:$H$201,$B$2:$B$201,"&lt;="&amp;B165)</f>
        <v>49160</v>
      </c>
    </row>
    <row r="166" spans="1:17" x14ac:dyDescent="0.35">
      <c r="A166">
        <v>165</v>
      </c>
      <c r="B166" s="1">
        <v>45712</v>
      </c>
      <c r="C166" t="s">
        <v>9</v>
      </c>
      <c r="D166" t="s">
        <v>10</v>
      </c>
      <c r="E166" t="s">
        <v>42</v>
      </c>
      <c r="F166" t="s">
        <v>72</v>
      </c>
      <c r="G166" t="s">
        <v>23</v>
      </c>
      <c r="H166">
        <v>12827</v>
      </c>
      <c r="I166">
        <v>10421</v>
      </c>
      <c r="J166">
        <f>H166-I166</f>
        <v>2406</v>
      </c>
      <c r="K166" s="6">
        <f>J166/H166</f>
        <v>0.18757308801746317</v>
      </c>
      <c r="L166" t="str">
        <f t="array" ref="L166">_xlfn.IFS(J166&gt;15000,"Excellent",J166&gt;=5000,"Good",J166&lt;5000,"Poor")</f>
        <v>Poor</v>
      </c>
      <c r="M166">
        <f t="array" ref="M166">_xlfn.XLOOKUP(G166,' Employee_Salary'!$A$1:A170,' Employee_Salary'!$B$1:B170,FALSE)</f>
        <v>43000</v>
      </c>
      <c r="N166" s="9">
        <f>M166/H166</f>
        <v>3.3523037343104387</v>
      </c>
      <c r="O166" s="9">
        <f>IF(D166="Electronics",H166*5%,IF(D166="Furniture",H166*8%,0))</f>
        <v>1026.1600000000001</v>
      </c>
      <c r="P166">
        <f>_xlfn.RANK.EQ(H166,$H$2:$H$201,0)</f>
        <v>128</v>
      </c>
      <c r="Q166">
        <f>SUMIFS($H$2:$H$201,$B$2:$B$201,"&lt;="&amp;B166)</f>
        <v>2962959</v>
      </c>
    </row>
    <row r="167" spans="1:17" x14ac:dyDescent="0.35">
      <c r="A167">
        <v>166</v>
      </c>
      <c r="B167" s="1">
        <v>45658</v>
      </c>
      <c r="C167" t="s">
        <v>37</v>
      </c>
      <c r="D167" t="s">
        <v>10</v>
      </c>
      <c r="E167" t="s">
        <v>11</v>
      </c>
      <c r="F167" t="s">
        <v>41</v>
      </c>
      <c r="G167" t="s">
        <v>13</v>
      </c>
      <c r="H167">
        <v>7741</v>
      </c>
      <c r="I167">
        <v>6783</v>
      </c>
      <c r="J167">
        <f>H167-I167</f>
        <v>958</v>
      </c>
      <c r="K167" s="6">
        <f>J167/H167</f>
        <v>0.12375662059165482</v>
      </c>
      <c r="L167" t="str">
        <f t="array" ref="L167">_xlfn.IFS(J167&gt;15000,"Excellent",J167&gt;=5000,"Good",J167&lt;5000,"Poor")</f>
        <v>Poor</v>
      </c>
      <c r="M167">
        <f t="array" ref="M167">_xlfn.XLOOKUP(G167,' Employee_Salary'!$A$1:A171,' Employee_Salary'!$B$1:B171,FALSE)</f>
        <v>47000</v>
      </c>
      <c r="N167" s="9">
        <f>M167/H167</f>
        <v>6.0715669810102053</v>
      </c>
      <c r="O167" s="9">
        <f>IF(D167="Electronics",H167*5%,IF(D167="Furniture",H167*8%,0))</f>
        <v>619.28</v>
      </c>
      <c r="P167">
        <f>_xlfn.RANK.EQ(H167,$H$2:$H$201,0)</f>
        <v>167</v>
      </c>
      <c r="Q167">
        <f>SUMIFS($H$2:$H$201,$B$2:$B$201,"&lt;="&amp;B167)</f>
        <v>49160</v>
      </c>
    </row>
    <row r="168" spans="1:17" x14ac:dyDescent="0.35">
      <c r="A168">
        <v>167</v>
      </c>
      <c r="B168" s="1">
        <v>45662</v>
      </c>
      <c r="C168" t="s">
        <v>37</v>
      </c>
      <c r="D168" t="s">
        <v>18</v>
      </c>
      <c r="E168" t="s">
        <v>29</v>
      </c>
      <c r="F168" t="s">
        <v>45</v>
      </c>
      <c r="G168" t="s">
        <v>23</v>
      </c>
      <c r="H168">
        <v>27959</v>
      </c>
      <c r="I168">
        <v>23794</v>
      </c>
      <c r="J168">
        <f>H168-I168</f>
        <v>4165</v>
      </c>
      <c r="K168" s="6">
        <f>J168/H168</f>
        <v>0.14896813190743588</v>
      </c>
      <c r="L168" t="str">
        <f t="array" ref="L168">_xlfn.IFS(J168&gt;15000,"Excellent",J168&gt;=5000,"Good",J168&lt;5000,"Poor")</f>
        <v>Poor</v>
      </c>
      <c r="M168">
        <f t="array" ref="M168">_xlfn.XLOOKUP(G168,' Employee_Salary'!$A$1:A172,' Employee_Salary'!$B$1:B172,FALSE)</f>
        <v>43000</v>
      </c>
      <c r="N168" s="9">
        <f>M168/H168</f>
        <v>1.5379663078078616</v>
      </c>
      <c r="O168" s="9">
        <f>IF(D168="Electronics",H168*5%,IF(D168="Furniture",H168*8%,0))</f>
        <v>1397.95</v>
      </c>
      <c r="P168">
        <f>_xlfn.RANK.EQ(H168,$H$2:$H$201,0)</f>
        <v>13</v>
      </c>
      <c r="Q168">
        <f>SUMIFS($H$2:$H$201,$B$2:$B$201,"&lt;="&amp;B168)</f>
        <v>226223</v>
      </c>
    </row>
    <row r="169" spans="1:17" x14ac:dyDescent="0.35">
      <c r="A169">
        <v>168</v>
      </c>
      <c r="B169" s="1">
        <v>45701</v>
      </c>
      <c r="C169" t="s">
        <v>9</v>
      </c>
      <c r="D169" t="s">
        <v>10</v>
      </c>
      <c r="E169" t="s">
        <v>15</v>
      </c>
      <c r="F169" t="s">
        <v>73</v>
      </c>
      <c r="G169" t="s">
        <v>13</v>
      </c>
      <c r="H169">
        <v>9260</v>
      </c>
      <c r="I169">
        <v>8117</v>
      </c>
      <c r="J169">
        <f>H169-I169</f>
        <v>1143</v>
      </c>
      <c r="K169" s="6">
        <f>J169/H169</f>
        <v>0.12343412526997841</v>
      </c>
      <c r="L169" t="str">
        <f t="array" ref="L169">_xlfn.IFS(J169&gt;15000,"Excellent",J169&gt;=5000,"Good",J169&lt;5000,"Poor")</f>
        <v>Poor</v>
      </c>
      <c r="M169">
        <f t="array" ref="M169">_xlfn.XLOOKUP(G169,' Employee_Salary'!$A$1:A173,' Employee_Salary'!$B$1:B173,FALSE)</f>
        <v>47000</v>
      </c>
      <c r="N169" s="9">
        <f>M169/H169</f>
        <v>5.0755939524838016</v>
      </c>
      <c r="O169" s="9">
        <f>IF(D169="Electronics",H169*5%,IF(D169="Furniture",H169*8%,0))</f>
        <v>740.80000000000007</v>
      </c>
      <c r="P169">
        <f>_xlfn.RANK.EQ(H169,$H$2:$H$201,0)</f>
        <v>154</v>
      </c>
      <c r="Q169">
        <f>SUMIFS($H$2:$H$201,$B$2:$B$201,"&lt;="&amp;B169)</f>
        <v>2376415</v>
      </c>
    </row>
    <row r="170" spans="1:17" x14ac:dyDescent="0.35">
      <c r="A170">
        <v>169</v>
      </c>
      <c r="B170" s="1">
        <v>45701</v>
      </c>
      <c r="C170" t="s">
        <v>37</v>
      </c>
      <c r="D170" t="s">
        <v>18</v>
      </c>
      <c r="E170" t="s">
        <v>32</v>
      </c>
      <c r="F170" t="s">
        <v>59</v>
      </c>
      <c r="G170" t="s">
        <v>13</v>
      </c>
      <c r="H170">
        <v>23426</v>
      </c>
      <c r="I170">
        <v>18470</v>
      </c>
      <c r="J170">
        <f>H170-I170</f>
        <v>4956</v>
      </c>
      <c r="K170" s="6">
        <f>J170/H170</f>
        <v>0.21155980534448904</v>
      </c>
      <c r="L170" t="str">
        <f t="array" ref="L170">_xlfn.IFS(J170&gt;15000,"Excellent",J170&gt;=5000,"Good",J170&lt;5000,"Poor")</f>
        <v>Poor</v>
      </c>
      <c r="M170">
        <f t="array" ref="M170">_xlfn.XLOOKUP(G170,' Employee_Salary'!$A$1:A174,' Employee_Salary'!$B$1:B174,FALSE)</f>
        <v>47000</v>
      </c>
      <c r="N170" s="9">
        <f>M170/H170</f>
        <v>2.0063177665841372</v>
      </c>
      <c r="O170" s="9">
        <f>IF(D170="Electronics",H170*5%,IF(D170="Furniture",H170*8%,0))</f>
        <v>1171.3</v>
      </c>
      <c r="P170">
        <f>_xlfn.RANK.EQ(H170,$H$2:$H$201,0)</f>
        <v>42</v>
      </c>
      <c r="Q170">
        <f>SUMIFS($H$2:$H$201,$B$2:$B$201,"&lt;="&amp;B170)</f>
        <v>2376415</v>
      </c>
    </row>
    <row r="171" spans="1:17" x14ac:dyDescent="0.35">
      <c r="A171">
        <v>170</v>
      </c>
      <c r="B171" s="1">
        <v>45707</v>
      </c>
      <c r="C171" t="s">
        <v>17</v>
      </c>
      <c r="D171" t="s">
        <v>10</v>
      </c>
      <c r="E171" t="s">
        <v>11</v>
      </c>
      <c r="F171" t="s">
        <v>69</v>
      </c>
      <c r="G171" t="s">
        <v>28</v>
      </c>
      <c r="H171">
        <v>9672</v>
      </c>
      <c r="I171">
        <v>7495</v>
      </c>
      <c r="J171">
        <f>H171-I171</f>
        <v>2177</v>
      </c>
      <c r="K171" s="6">
        <f>J171/H171</f>
        <v>0.22508271298593879</v>
      </c>
      <c r="L171" t="str">
        <f t="array" ref="L171">_xlfn.IFS(J171&gt;15000,"Excellent",J171&gt;=5000,"Good",J171&lt;5000,"Poor")</f>
        <v>Poor</v>
      </c>
      <c r="M171">
        <f t="array" ref="M171">_xlfn.XLOOKUP(G171,' Employee_Salary'!$A$1:A175,' Employee_Salary'!$B$1:B175,FALSE)</f>
        <v>45000</v>
      </c>
      <c r="N171" s="9">
        <f>M171/H171</f>
        <v>4.6526054590570718</v>
      </c>
      <c r="O171" s="9">
        <f>IF(D171="Electronics",H171*5%,IF(D171="Furniture",H171*8%,0))</f>
        <v>773.76</v>
      </c>
      <c r="P171">
        <f>_xlfn.RANK.EQ(H171,$H$2:$H$201,0)</f>
        <v>151</v>
      </c>
      <c r="Q171">
        <f>SUMIFS($H$2:$H$201,$B$2:$B$201,"&lt;="&amp;B171)</f>
        <v>2808628</v>
      </c>
    </row>
    <row r="172" spans="1:17" x14ac:dyDescent="0.35">
      <c r="A172">
        <v>171</v>
      </c>
      <c r="B172" s="1">
        <v>45671</v>
      </c>
      <c r="C172" t="s">
        <v>14</v>
      </c>
      <c r="D172" t="s">
        <v>10</v>
      </c>
      <c r="E172" t="s">
        <v>42</v>
      </c>
      <c r="F172" t="s">
        <v>67</v>
      </c>
      <c r="G172" t="s">
        <v>35</v>
      </c>
      <c r="H172">
        <v>15655</v>
      </c>
      <c r="I172">
        <v>12741</v>
      </c>
      <c r="J172">
        <f>H172-I172</f>
        <v>2914</v>
      </c>
      <c r="K172" s="6">
        <f>J172/H172</f>
        <v>0.18613861386138614</v>
      </c>
      <c r="L172" t="str">
        <f t="array" ref="L172">_xlfn.IFS(J172&gt;15000,"Excellent",J172&gt;=5000,"Good",J172&lt;5000,"Poor")</f>
        <v>Poor</v>
      </c>
      <c r="M172">
        <f t="array" ref="M172">_xlfn.XLOOKUP(G172,' Employee_Salary'!$A$1:A176,' Employee_Salary'!$B$1:B176,FALSE)</f>
        <v>40000</v>
      </c>
      <c r="N172" s="9">
        <f>M172/H172</f>
        <v>2.5550942190993293</v>
      </c>
      <c r="O172" s="9">
        <f>IF(D172="Electronics",H172*5%,IF(D172="Furniture",H172*8%,0))</f>
        <v>1252.4000000000001</v>
      </c>
      <c r="P172">
        <f>_xlfn.RANK.EQ(H172,$H$2:$H$201,0)</f>
        <v>106</v>
      </c>
      <c r="Q172">
        <f>SUMIFS($H$2:$H$201,$B$2:$B$201,"&lt;="&amp;B172)</f>
        <v>841403</v>
      </c>
    </row>
    <row r="173" spans="1:17" x14ac:dyDescent="0.35">
      <c r="A173">
        <v>172</v>
      </c>
      <c r="B173" s="1">
        <v>45694</v>
      </c>
      <c r="C173" t="s">
        <v>14</v>
      </c>
      <c r="D173" t="s">
        <v>10</v>
      </c>
      <c r="E173" t="s">
        <v>21</v>
      </c>
      <c r="F173" t="s">
        <v>30</v>
      </c>
      <c r="G173" t="s">
        <v>33</v>
      </c>
      <c r="H173">
        <v>4896</v>
      </c>
      <c r="I173">
        <v>3209</v>
      </c>
      <c r="J173">
        <f>H173-I173</f>
        <v>1687</v>
      </c>
      <c r="K173" s="6">
        <f>J173/H173</f>
        <v>0.34456699346405228</v>
      </c>
      <c r="L173" t="str">
        <f t="array" ref="L173">_xlfn.IFS(J173&gt;15000,"Excellent",J173&gt;=5000,"Good",J173&lt;5000,"Poor")</f>
        <v>Poor</v>
      </c>
      <c r="M173">
        <f t="array" ref="M173">_xlfn.XLOOKUP(G173,' Employee_Salary'!$A$1:A177,' Employee_Salary'!$B$1:B177,FALSE)</f>
        <v>42000</v>
      </c>
      <c r="N173" s="9">
        <f>M173/H173</f>
        <v>8.5784313725490193</v>
      </c>
      <c r="O173" s="9">
        <f>IF(D173="Electronics",H173*5%,IF(D173="Furniture",H173*8%,0))</f>
        <v>391.68</v>
      </c>
      <c r="P173">
        <f>_xlfn.RANK.EQ(H173,$H$2:$H$201,0)</f>
        <v>188</v>
      </c>
      <c r="Q173">
        <f>SUMIFS($H$2:$H$201,$B$2:$B$201,"&lt;="&amp;B173)</f>
        <v>1993799</v>
      </c>
    </row>
    <row r="174" spans="1:17" x14ac:dyDescent="0.35">
      <c r="A174">
        <v>173</v>
      </c>
      <c r="B174" s="1">
        <v>45681</v>
      </c>
      <c r="C174" t="s">
        <v>17</v>
      </c>
      <c r="D174" t="s">
        <v>10</v>
      </c>
      <c r="E174" t="s">
        <v>15</v>
      </c>
      <c r="F174" t="s">
        <v>77</v>
      </c>
      <c r="G174" t="s">
        <v>13</v>
      </c>
      <c r="H174">
        <v>26624</v>
      </c>
      <c r="I174">
        <v>22645</v>
      </c>
      <c r="J174">
        <f>H174-I174</f>
        <v>3979</v>
      </c>
      <c r="K174" s="6">
        <f>J174/H174</f>
        <v>0.14945162259615385</v>
      </c>
      <c r="L174" t="str">
        <f t="array" ref="L174">_xlfn.IFS(J174&gt;15000,"Excellent",J174&gt;=5000,"Good",J174&lt;5000,"Poor")</f>
        <v>Poor</v>
      </c>
      <c r="M174">
        <f t="array" ref="M174">_xlfn.XLOOKUP(G174,' Employee_Salary'!$A$1:A178,' Employee_Salary'!$B$1:B178,FALSE)</f>
        <v>47000</v>
      </c>
      <c r="N174" s="9">
        <f>M174/H174</f>
        <v>1.7653245192307692</v>
      </c>
      <c r="O174" s="9">
        <f>IF(D174="Electronics",H174*5%,IF(D174="Furniture",H174*8%,0))</f>
        <v>2129.92</v>
      </c>
      <c r="P174">
        <f>_xlfn.RANK.EQ(H174,$H$2:$H$201,0)</f>
        <v>23</v>
      </c>
      <c r="Q174">
        <f>SUMIFS($H$2:$H$201,$B$2:$B$201,"&lt;="&amp;B174)</f>
        <v>1463299</v>
      </c>
    </row>
    <row r="175" spans="1:17" x14ac:dyDescent="0.35">
      <c r="A175">
        <v>174</v>
      </c>
      <c r="B175" s="1">
        <v>45663</v>
      </c>
      <c r="C175" t="s">
        <v>9</v>
      </c>
      <c r="D175" t="s">
        <v>10</v>
      </c>
      <c r="E175" t="s">
        <v>11</v>
      </c>
      <c r="F175" t="s">
        <v>50</v>
      </c>
      <c r="G175" t="s">
        <v>28</v>
      </c>
      <c r="H175">
        <v>12390</v>
      </c>
      <c r="I175">
        <v>7893</v>
      </c>
      <c r="J175">
        <f>H175-I175</f>
        <v>4497</v>
      </c>
      <c r="K175" s="6">
        <f>J175/H175</f>
        <v>0.36295399515738497</v>
      </c>
      <c r="L175" t="str">
        <f t="array" ref="L175">_xlfn.IFS(J175&gt;15000,"Excellent",J175&gt;=5000,"Good",J175&lt;5000,"Poor")</f>
        <v>Poor</v>
      </c>
      <c r="M175">
        <f t="array" ref="M175">_xlfn.XLOOKUP(G175,' Employee_Salary'!$A$1:A179,' Employee_Salary'!$B$1:B179,FALSE)</f>
        <v>45000</v>
      </c>
      <c r="N175" s="9">
        <f>M175/H175</f>
        <v>3.6319612590799033</v>
      </c>
      <c r="O175" s="9">
        <f>IF(D175="Electronics",H175*5%,IF(D175="Furniture",H175*8%,0))</f>
        <v>991.2</v>
      </c>
      <c r="P175">
        <f>_xlfn.RANK.EQ(H175,$H$2:$H$201,0)</f>
        <v>134</v>
      </c>
      <c r="Q175">
        <f>SUMIFS($H$2:$H$201,$B$2:$B$201,"&lt;="&amp;B175)</f>
        <v>314278</v>
      </c>
    </row>
    <row r="176" spans="1:17" x14ac:dyDescent="0.35">
      <c r="A176">
        <v>175</v>
      </c>
      <c r="B176" s="1">
        <v>45666</v>
      </c>
      <c r="C176" t="s">
        <v>37</v>
      </c>
      <c r="D176" t="s">
        <v>18</v>
      </c>
      <c r="E176" t="s">
        <v>32</v>
      </c>
      <c r="F176" t="s">
        <v>41</v>
      </c>
      <c r="G176" t="s">
        <v>23</v>
      </c>
      <c r="H176">
        <v>16540</v>
      </c>
      <c r="I176">
        <v>13760</v>
      </c>
      <c r="J176">
        <f>H176-I176</f>
        <v>2780</v>
      </c>
      <c r="K176" s="6">
        <f>J176/H176</f>
        <v>0.16807738814993953</v>
      </c>
      <c r="L176" t="str">
        <f t="array" ref="L176">_xlfn.IFS(J176&gt;15000,"Excellent",J176&gt;=5000,"Good",J176&lt;5000,"Poor")</f>
        <v>Poor</v>
      </c>
      <c r="M176">
        <f t="array" ref="M176">_xlfn.XLOOKUP(G176,' Employee_Salary'!$A$1:A180,' Employee_Salary'!$B$1:B180,FALSE)</f>
        <v>43000</v>
      </c>
      <c r="N176" s="9">
        <f>M176/H176</f>
        <v>2.5997581620314389</v>
      </c>
      <c r="O176" s="9">
        <f>IF(D176="Electronics",H176*5%,IF(D176="Furniture",H176*8%,0))</f>
        <v>827</v>
      </c>
      <c r="P176">
        <f>_xlfn.RANK.EQ(H176,$H$2:$H$201,0)</f>
        <v>102</v>
      </c>
      <c r="Q176">
        <f>SUMIFS($H$2:$H$201,$B$2:$B$201,"&lt;="&amp;B176)</f>
        <v>480218</v>
      </c>
    </row>
    <row r="177" spans="1:17" x14ac:dyDescent="0.35">
      <c r="A177">
        <v>176</v>
      </c>
      <c r="B177" s="1">
        <v>45663</v>
      </c>
      <c r="C177" t="s">
        <v>9</v>
      </c>
      <c r="D177" t="s">
        <v>10</v>
      </c>
      <c r="E177" t="s">
        <v>42</v>
      </c>
      <c r="F177" t="s">
        <v>22</v>
      </c>
      <c r="G177" t="s">
        <v>13</v>
      </c>
      <c r="H177">
        <v>10981</v>
      </c>
      <c r="I177">
        <v>7782</v>
      </c>
      <c r="J177">
        <f>H177-I177</f>
        <v>3199</v>
      </c>
      <c r="K177" s="6">
        <f>J177/H177</f>
        <v>0.29132137328112195</v>
      </c>
      <c r="L177" t="str">
        <f t="array" ref="L177">_xlfn.IFS(J177&gt;15000,"Excellent",J177&gt;=5000,"Good",J177&lt;5000,"Poor")</f>
        <v>Poor</v>
      </c>
      <c r="M177">
        <f t="array" ref="M177">_xlfn.XLOOKUP(G177,' Employee_Salary'!$A$1:A181,' Employee_Salary'!$B$1:B181,FALSE)</f>
        <v>47000</v>
      </c>
      <c r="N177" s="9">
        <f>M177/H177</f>
        <v>4.2801202076313629</v>
      </c>
      <c r="O177" s="9">
        <f>IF(D177="Electronics",H177*5%,IF(D177="Furniture",H177*8%,0))</f>
        <v>878.48</v>
      </c>
      <c r="P177">
        <f>_xlfn.RANK.EQ(H177,$H$2:$H$201,0)</f>
        <v>146</v>
      </c>
      <c r="Q177">
        <f>SUMIFS($H$2:$H$201,$B$2:$B$201,"&lt;="&amp;B177)</f>
        <v>314278</v>
      </c>
    </row>
    <row r="178" spans="1:17" x14ac:dyDescent="0.35">
      <c r="A178">
        <v>177</v>
      </c>
      <c r="B178" s="1">
        <v>45702</v>
      </c>
      <c r="C178" t="s">
        <v>37</v>
      </c>
      <c r="D178" t="s">
        <v>10</v>
      </c>
      <c r="E178" t="s">
        <v>21</v>
      </c>
      <c r="F178" t="s">
        <v>57</v>
      </c>
      <c r="G178" t="s">
        <v>13</v>
      </c>
      <c r="H178">
        <v>11754</v>
      </c>
      <c r="I178">
        <v>8066</v>
      </c>
      <c r="J178">
        <f>H178-I178</f>
        <v>3688</v>
      </c>
      <c r="K178" s="6">
        <f>J178/H178</f>
        <v>0.31376552662923263</v>
      </c>
      <c r="L178" t="str">
        <f t="array" ref="L178">_xlfn.IFS(J178&gt;15000,"Excellent",J178&gt;=5000,"Good",J178&lt;5000,"Poor")</f>
        <v>Poor</v>
      </c>
      <c r="M178">
        <f t="array" ref="M178">_xlfn.XLOOKUP(G178,' Employee_Salary'!$A$1:A182,' Employee_Salary'!$B$1:B182,FALSE)</f>
        <v>47000</v>
      </c>
      <c r="N178" s="9">
        <f>M178/H178</f>
        <v>3.9986387612727583</v>
      </c>
      <c r="O178" s="9">
        <f>IF(D178="Electronics",H178*5%,IF(D178="Furniture",H178*8%,0))</f>
        <v>940.32</v>
      </c>
      <c r="P178">
        <f>_xlfn.RANK.EQ(H178,$H$2:$H$201,0)</f>
        <v>142</v>
      </c>
      <c r="Q178">
        <f>SUMIFS($H$2:$H$201,$B$2:$B$201,"&lt;="&amp;B178)</f>
        <v>2448350</v>
      </c>
    </row>
    <row r="179" spans="1:17" x14ac:dyDescent="0.35">
      <c r="A179">
        <v>178</v>
      </c>
      <c r="B179" s="1">
        <v>45704</v>
      </c>
      <c r="C179" t="s">
        <v>37</v>
      </c>
      <c r="D179" t="s">
        <v>10</v>
      </c>
      <c r="E179" t="s">
        <v>21</v>
      </c>
      <c r="F179" t="s">
        <v>30</v>
      </c>
      <c r="G179" t="s">
        <v>28</v>
      </c>
      <c r="H179">
        <v>19787</v>
      </c>
      <c r="I179">
        <v>16448</v>
      </c>
      <c r="J179">
        <f>H179-I179</f>
        <v>3339</v>
      </c>
      <c r="K179" s="6">
        <f>J179/H179</f>
        <v>0.16874715722444028</v>
      </c>
      <c r="L179" t="str">
        <f t="array" ref="L179">_xlfn.IFS(J179&gt;15000,"Excellent",J179&gt;=5000,"Good",J179&lt;5000,"Poor")</f>
        <v>Poor</v>
      </c>
      <c r="M179">
        <f t="array" ref="M179">_xlfn.XLOOKUP(G179,' Employee_Salary'!$A$1:A183,' Employee_Salary'!$B$1:B183,FALSE)</f>
        <v>45000</v>
      </c>
      <c r="N179" s="9">
        <f>M179/H179</f>
        <v>2.2742204477687369</v>
      </c>
      <c r="O179" s="9">
        <f>IF(D179="Electronics",H179*5%,IF(D179="Furniture",H179*8%,0))</f>
        <v>1582.96</v>
      </c>
      <c r="P179">
        <f>_xlfn.RANK.EQ(H179,$H$2:$H$201,0)</f>
        <v>68</v>
      </c>
      <c r="Q179">
        <f>SUMIFS($H$2:$H$201,$B$2:$B$201,"&lt;="&amp;B179)</f>
        <v>2568758</v>
      </c>
    </row>
    <row r="180" spans="1:17" x14ac:dyDescent="0.35">
      <c r="A180">
        <v>179</v>
      </c>
      <c r="B180" s="1">
        <v>45662</v>
      </c>
      <c r="C180" t="s">
        <v>14</v>
      </c>
      <c r="D180" t="s">
        <v>10</v>
      </c>
      <c r="E180" t="s">
        <v>42</v>
      </c>
      <c r="F180" t="s">
        <v>38</v>
      </c>
      <c r="G180" t="s">
        <v>28</v>
      </c>
      <c r="H180">
        <v>7183</v>
      </c>
      <c r="I180">
        <v>6189</v>
      </c>
      <c r="J180">
        <f>H180-I180</f>
        <v>994</v>
      </c>
      <c r="K180" s="6">
        <f>J180/H180</f>
        <v>0.13838229152164833</v>
      </c>
      <c r="L180" t="str">
        <f t="array" ref="L180">_xlfn.IFS(J180&gt;15000,"Excellent",J180&gt;=5000,"Good",J180&lt;5000,"Poor")</f>
        <v>Poor</v>
      </c>
      <c r="M180">
        <f t="array" ref="M180">_xlfn.XLOOKUP(G180,' Employee_Salary'!$A$1:A184,' Employee_Salary'!$B$1:B184,FALSE)</f>
        <v>45000</v>
      </c>
      <c r="N180" s="9">
        <f>M180/H180</f>
        <v>6.2647918696923295</v>
      </c>
      <c r="O180" s="9">
        <f>IF(D180="Electronics",H180*5%,IF(D180="Furniture",H180*8%,0))</f>
        <v>574.64</v>
      </c>
      <c r="P180">
        <f>_xlfn.RANK.EQ(H180,$H$2:$H$201,0)</f>
        <v>169</v>
      </c>
      <c r="Q180">
        <f>SUMIFS($H$2:$H$201,$B$2:$B$201,"&lt;="&amp;B180)</f>
        <v>226223</v>
      </c>
    </row>
    <row r="181" spans="1:17" x14ac:dyDescent="0.35">
      <c r="A181">
        <v>180</v>
      </c>
      <c r="B181" s="1">
        <v>45701</v>
      </c>
      <c r="C181" t="s">
        <v>14</v>
      </c>
      <c r="D181" t="s">
        <v>10</v>
      </c>
      <c r="E181" t="s">
        <v>15</v>
      </c>
      <c r="F181" t="s">
        <v>59</v>
      </c>
      <c r="G181" t="s">
        <v>35</v>
      </c>
      <c r="H181">
        <v>9341</v>
      </c>
      <c r="I181">
        <v>8029</v>
      </c>
      <c r="J181">
        <f>H181-I181</f>
        <v>1312</v>
      </c>
      <c r="K181" s="6">
        <f>J181/H181</f>
        <v>0.14045605395567926</v>
      </c>
      <c r="L181" t="str">
        <f t="array" ref="L181">_xlfn.IFS(J181&gt;15000,"Excellent",J181&gt;=5000,"Good",J181&lt;5000,"Poor")</f>
        <v>Poor</v>
      </c>
      <c r="M181">
        <f t="array" ref="M181">_xlfn.XLOOKUP(G181,' Employee_Salary'!$A$1:A185,' Employee_Salary'!$B$1:B185,FALSE)</f>
        <v>40000</v>
      </c>
      <c r="N181" s="9">
        <f>M181/H181</f>
        <v>4.2821967669414409</v>
      </c>
      <c r="O181" s="9">
        <f>IF(D181="Electronics",H181*5%,IF(D181="Furniture",H181*8%,0))</f>
        <v>747.28</v>
      </c>
      <c r="P181">
        <f>_xlfn.RANK.EQ(H181,$H$2:$H$201,0)</f>
        <v>152</v>
      </c>
      <c r="Q181">
        <f>SUMIFS($H$2:$H$201,$B$2:$B$201,"&lt;="&amp;B181)</f>
        <v>2376415</v>
      </c>
    </row>
    <row r="182" spans="1:17" x14ac:dyDescent="0.35">
      <c r="A182">
        <v>181</v>
      </c>
      <c r="B182" s="1">
        <v>45671</v>
      </c>
      <c r="C182" t="s">
        <v>17</v>
      </c>
      <c r="D182" t="s">
        <v>10</v>
      </c>
      <c r="E182" t="s">
        <v>21</v>
      </c>
      <c r="F182" t="s">
        <v>71</v>
      </c>
      <c r="G182" t="s">
        <v>28</v>
      </c>
      <c r="H182">
        <v>17968</v>
      </c>
      <c r="I182">
        <v>13010</v>
      </c>
      <c r="J182">
        <f>H182-I182</f>
        <v>4958</v>
      </c>
      <c r="K182" s="6">
        <f>J182/H182</f>
        <v>0.27593499554764023</v>
      </c>
      <c r="L182" t="str">
        <f t="array" ref="L182">_xlfn.IFS(J182&gt;15000,"Excellent",J182&gt;=5000,"Good",J182&lt;5000,"Poor")</f>
        <v>Poor</v>
      </c>
      <c r="M182">
        <f t="array" ref="M182">_xlfn.XLOOKUP(G182,' Employee_Salary'!$A$1:A186,' Employee_Salary'!$B$1:B186,FALSE)</f>
        <v>45000</v>
      </c>
      <c r="N182" s="9">
        <f>M182/H182</f>
        <v>2.504452359750668</v>
      </c>
      <c r="O182" s="9">
        <f>IF(D182="Electronics",H182*5%,IF(D182="Furniture",H182*8%,0))</f>
        <v>1437.44</v>
      </c>
      <c r="P182">
        <f>_xlfn.RANK.EQ(H182,$H$2:$H$201,0)</f>
        <v>82</v>
      </c>
      <c r="Q182">
        <f>SUMIFS($H$2:$H$201,$B$2:$B$201,"&lt;="&amp;B182)</f>
        <v>841403</v>
      </c>
    </row>
    <row r="183" spans="1:17" x14ac:dyDescent="0.35">
      <c r="A183">
        <v>182</v>
      </c>
      <c r="B183" s="1">
        <v>45680</v>
      </c>
      <c r="C183" t="s">
        <v>37</v>
      </c>
      <c r="D183" t="s">
        <v>18</v>
      </c>
      <c r="E183" t="s">
        <v>26</v>
      </c>
      <c r="F183" t="s">
        <v>71</v>
      </c>
      <c r="G183" t="s">
        <v>13</v>
      </c>
      <c r="H183">
        <v>13825</v>
      </c>
      <c r="I183">
        <v>8726</v>
      </c>
      <c r="J183">
        <f>H183-I183</f>
        <v>5099</v>
      </c>
      <c r="K183" s="6">
        <f>J183/H183</f>
        <v>0.36882459312839061</v>
      </c>
      <c r="L183" t="str">
        <f t="array" ref="L183">_xlfn.IFS(J183&gt;15000,"Excellent",J183&gt;=5000,"Good",J183&lt;5000,"Poor")</f>
        <v>Good</v>
      </c>
      <c r="M183">
        <f t="array" ref="M183">_xlfn.XLOOKUP(G183,' Employee_Salary'!$A$1:A187,' Employee_Salary'!$B$1:B187,FALSE)</f>
        <v>47000</v>
      </c>
      <c r="N183" s="9">
        <f>M183/H183</f>
        <v>3.3996383363471971</v>
      </c>
      <c r="O183" s="9">
        <f>IF(D183="Electronics",H183*5%,IF(D183="Furniture",H183*8%,0))</f>
        <v>691.25</v>
      </c>
      <c r="P183">
        <f>_xlfn.RANK.EQ(H183,$H$2:$H$201,0)</f>
        <v>114</v>
      </c>
      <c r="Q183">
        <f>SUMIFS($H$2:$H$201,$B$2:$B$201,"&lt;="&amp;B183)</f>
        <v>1349916</v>
      </c>
    </row>
    <row r="184" spans="1:17" x14ac:dyDescent="0.35">
      <c r="A184">
        <v>183</v>
      </c>
      <c r="B184" s="1">
        <v>45669</v>
      </c>
      <c r="C184" t="s">
        <v>14</v>
      </c>
      <c r="D184" t="s">
        <v>10</v>
      </c>
      <c r="E184" t="s">
        <v>42</v>
      </c>
      <c r="F184" t="s">
        <v>53</v>
      </c>
      <c r="G184" t="s">
        <v>23</v>
      </c>
      <c r="H184">
        <v>12841</v>
      </c>
      <c r="I184">
        <v>11391</v>
      </c>
      <c r="J184">
        <f>H184-I184</f>
        <v>1450</v>
      </c>
      <c r="K184" s="6">
        <f>J184/H184</f>
        <v>0.11291955455182619</v>
      </c>
      <c r="L184" t="str">
        <f t="array" ref="L184">_xlfn.IFS(J184&gt;15000,"Excellent",J184&gt;=5000,"Good",J184&lt;5000,"Poor")</f>
        <v>Poor</v>
      </c>
      <c r="M184">
        <f t="array" ref="M184">_xlfn.XLOOKUP(G184,' Employee_Salary'!$A$1:A188,' Employee_Salary'!$B$1:B188,FALSE)</f>
        <v>43000</v>
      </c>
      <c r="N184" s="9">
        <f>M184/H184</f>
        <v>3.3486488591231214</v>
      </c>
      <c r="O184" s="9">
        <f>IF(D184="Electronics",H184*5%,IF(D184="Furniture",H184*8%,0))</f>
        <v>1027.28</v>
      </c>
      <c r="P184">
        <f>_xlfn.RANK.EQ(H184,$H$2:$H$201,0)</f>
        <v>127</v>
      </c>
      <c r="Q184">
        <f>SUMIFS($H$2:$H$201,$B$2:$B$201,"&lt;="&amp;B184)</f>
        <v>665652</v>
      </c>
    </row>
    <row r="185" spans="1:17" x14ac:dyDescent="0.35">
      <c r="A185">
        <v>184</v>
      </c>
      <c r="B185" s="1">
        <v>45683</v>
      </c>
      <c r="C185" t="s">
        <v>14</v>
      </c>
      <c r="D185" t="s">
        <v>10</v>
      </c>
      <c r="E185" t="s">
        <v>42</v>
      </c>
      <c r="F185" t="s">
        <v>27</v>
      </c>
      <c r="G185" t="s">
        <v>28</v>
      </c>
      <c r="H185">
        <v>15573</v>
      </c>
      <c r="I185">
        <v>9363</v>
      </c>
      <c r="J185">
        <f>H185-I185</f>
        <v>6210</v>
      </c>
      <c r="K185" s="6">
        <f>J185/H185</f>
        <v>0.39876709689847811</v>
      </c>
      <c r="L185" t="str">
        <f t="array" ref="L185">_xlfn.IFS(J185&gt;15000,"Excellent",J185&gt;=5000,"Good",J185&lt;5000,"Poor")</f>
        <v>Good</v>
      </c>
      <c r="M185">
        <f t="array" ref="M185">_xlfn.XLOOKUP(G185,' Employee_Salary'!$A$1:A189,' Employee_Salary'!$B$1:B189,FALSE)</f>
        <v>45000</v>
      </c>
      <c r="N185" s="9">
        <f>M185/H185</f>
        <v>2.8896166441918707</v>
      </c>
      <c r="O185" s="9">
        <f>IF(D185="Electronics",H185*5%,IF(D185="Furniture",H185*8%,0))</f>
        <v>1245.8399999999999</v>
      </c>
      <c r="P185">
        <f>_xlfn.RANK.EQ(H185,$H$2:$H$201,0)</f>
        <v>107</v>
      </c>
      <c r="Q185">
        <f>SUMIFS($H$2:$H$201,$B$2:$B$201,"&lt;="&amp;B185)</f>
        <v>1589196</v>
      </c>
    </row>
    <row r="186" spans="1:17" x14ac:dyDescent="0.35">
      <c r="A186">
        <v>185</v>
      </c>
      <c r="B186" s="1">
        <v>45705</v>
      </c>
      <c r="C186" t="s">
        <v>17</v>
      </c>
      <c r="D186" t="s">
        <v>18</v>
      </c>
      <c r="E186" t="s">
        <v>29</v>
      </c>
      <c r="F186" t="s">
        <v>36</v>
      </c>
      <c r="G186" t="s">
        <v>23</v>
      </c>
      <c r="H186">
        <v>14137</v>
      </c>
      <c r="I186">
        <v>11432</v>
      </c>
      <c r="J186">
        <f>H186-I186</f>
        <v>2705</v>
      </c>
      <c r="K186" s="6">
        <f>J186/H186</f>
        <v>0.19134186885477825</v>
      </c>
      <c r="L186" t="str">
        <f t="array" ref="L186">_xlfn.IFS(J186&gt;15000,"Excellent",J186&gt;=5000,"Good",J186&lt;5000,"Poor")</f>
        <v>Poor</v>
      </c>
      <c r="M186">
        <f t="array" ref="M186">_xlfn.XLOOKUP(G186,' Employee_Salary'!$A$1:A190,' Employee_Salary'!$B$1:B190,FALSE)</f>
        <v>43000</v>
      </c>
      <c r="N186" s="9">
        <f>M186/H186</f>
        <v>3.0416637193181013</v>
      </c>
      <c r="O186" s="9">
        <f>IF(D186="Electronics",H186*5%,IF(D186="Furniture",H186*8%,0))</f>
        <v>706.85</v>
      </c>
      <c r="P186">
        <f>_xlfn.RANK.EQ(H186,$H$2:$H$201,0)</f>
        <v>112</v>
      </c>
      <c r="Q186">
        <f>SUMIFS($H$2:$H$201,$B$2:$B$201,"&lt;="&amp;B186)</f>
        <v>2691046</v>
      </c>
    </row>
    <row r="187" spans="1:17" x14ac:dyDescent="0.35">
      <c r="A187">
        <v>186</v>
      </c>
      <c r="B187" s="1">
        <v>45675</v>
      </c>
      <c r="C187" t="s">
        <v>17</v>
      </c>
      <c r="D187" t="s">
        <v>10</v>
      </c>
      <c r="E187" t="s">
        <v>42</v>
      </c>
      <c r="F187" t="s">
        <v>54</v>
      </c>
      <c r="G187" t="s">
        <v>33</v>
      </c>
      <c r="H187">
        <v>10389</v>
      </c>
      <c r="I187">
        <v>8448</v>
      </c>
      <c r="J187">
        <f>H187-I187</f>
        <v>1941</v>
      </c>
      <c r="K187" s="6">
        <f>J187/H187</f>
        <v>0.1868322263933006</v>
      </c>
      <c r="L187" t="str">
        <f t="array" ref="L187">_xlfn.IFS(J187&gt;15000,"Excellent",J187&gt;=5000,"Good",J187&lt;5000,"Poor")</f>
        <v>Poor</v>
      </c>
      <c r="M187">
        <f t="array" ref="M187">_xlfn.XLOOKUP(G187,' Employee_Salary'!$A$1:A191,' Employee_Salary'!$B$1:B191,FALSE)</f>
        <v>42000</v>
      </c>
      <c r="N187" s="9">
        <f>M187/H187</f>
        <v>4.0427375108287613</v>
      </c>
      <c r="O187" s="9">
        <f>IF(D187="Electronics",H187*5%,IF(D187="Furniture",H187*8%,0))</f>
        <v>831.12</v>
      </c>
      <c r="P187">
        <f>_xlfn.RANK.EQ(H187,$H$2:$H$201,0)</f>
        <v>148</v>
      </c>
      <c r="Q187">
        <f>SUMIFS($H$2:$H$201,$B$2:$B$201,"&lt;="&amp;B187)</f>
        <v>980127</v>
      </c>
    </row>
    <row r="188" spans="1:17" x14ac:dyDescent="0.35">
      <c r="A188">
        <v>187</v>
      </c>
      <c r="B188" s="1">
        <v>45705</v>
      </c>
      <c r="C188" t="s">
        <v>14</v>
      </c>
      <c r="D188" t="s">
        <v>10</v>
      </c>
      <c r="E188" t="s">
        <v>42</v>
      </c>
      <c r="F188" t="s">
        <v>51</v>
      </c>
      <c r="G188" t="s">
        <v>28</v>
      </c>
      <c r="H188">
        <v>17123</v>
      </c>
      <c r="I188">
        <v>12494</v>
      </c>
      <c r="J188">
        <f>H188-I188</f>
        <v>4629</v>
      </c>
      <c r="K188" s="6">
        <f>J188/H188</f>
        <v>0.27033814168078024</v>
      </c>
      <c r="L188" t="str">
        <f t="array" ref="L188">_xlfn.IFS(J188&gt;15000,"Excellent",J188&gt;=5000,"Good",J188&lt;5000,"Poor")</f>
        <v>Poor</v>
      </c>
      <c r="M188">
        <f t="array" ref="M188">_xlfn.XLOOKUP(G188,' Employee_Salary'!$A$1:A192,' Employee_Salary'!$B$1:B192,FALSE)</f>
        <v>45000</v>
      </c>
      <c r="N188" s="9">
        <f>M188/H188</f>
        <v>2.6280441511417392</v>
      </c>
      <c r="O188" s="9">
        <f>IF(D188="Electronics",H188*5%,IF(D188="Furniture",H188*8%,0))</f>
        <v>1369.84</v>
      </c>
      <c r="P188">
        <f>_xlfn.RANK.EQ(H188,$H$2:$H$201,0)</f>
        <v>95</v>
      </c>
      <c r="Q188">
        <f>SUMIFS($H$2:$H$201,$B$2:$B$201,"&lt;="&amp;B188)</f>
        <v>2691046</v>
      </c>
    </row>
    <row r="189" spans="1:17" x14ac:dyDescent="0.35">
      <c r="A189">
        <v>188</v>
      </c>
      <c r="B189" s="1">
        <v>45717</v>
      </c>
      <c r="C189" t="s">
        <v>37</v>
      </c>
      <c r="D189" t="s">
        <v>18</v>
      </c>
      <c r="E189" t="s">
        <v>19</v>
      </c>
      <c r="F189" t="s">
        <v>57</v>
      </c>
      <c r="G189" t="s">
        <v>23</v>
      </c>
      <c r="H189">
        <v>23457</v>
      </c>
      <c r="I189">
        <v>20867</v>
      </c>
      <c r="J189">
        <f>H189-I189</f>
        <v>2590</v>
      </c>
      <c r="K189" s="6">
        <f>J189/H189</f>
        <v>0.11041480155177559</v>
      </c>
      <c r="L189" t="str">
        <f t="array" ref="L189">_xlfn.IFS(J189&gt;15000,"Excellent",J189&gt;=5000,"Good",J189&lt;5000,"Poor")</f>
        <v>Poor</v>
      </c>
      <c r="M189">
        <f t="array" ref="M189">_xlfn.XLOOKUP(G189,' Employee_Salary'!$A$1:A193,' Employee_Salary'!$B$1:B193,FALSE)</f>
        <v>43000</v>
      </c>
      <c r="N189" s="9">
        <f>M189/H189</f>
        <v>1.8331414929445369</v>
      </c>
      <c r="O189" s="9">
        <f>IF(D189="Electronics",H189*5%,IF(D189="Furniture",H189*8%,0))</f>
        <v>1172.8500000000001</v>
      </c>
      <c r="P189">
        <f>_xlfn.RANK.EQ(H189,$H$2:$H$201,0)</f>
        <v>41</v>
      </c>
      <c r="Q189">
        <f>SUMIFS($H$2:$H$201,$B$2:$B$201,"&lt;="&amp;B189)</f>
        <v>3235200</v>
      </c>
    </row>
    <row r="190" spans="1:17" x14ac:dyDescent="0.35">
      <c r="A190">
        <v>189</v>
      </c>
      <c r="B190" s="1">
        <v>45699</v>
      </c>
      <c r="C190" t="s">
        <v>17</v>
      </c>
      <c r="D190" t="s">
        <v>18</v>
      </c>
      <c r="E190" t="s">
        <v>19</v>
      </c>
      <c r="F190" t="s">
        <v>68</v>
      </c>
      <c r="G190" t="s">
        <v>13</v>
      </c>
      <c r="H190">
        <v>12542</v>
      </c>
      <c r="I190">
        <v>10524</v>
      </c>
      <c r="J190">
        <f>H190-I190</f>
        <v>2018</v>
      </c>
      <c r="K190" s="6">
        <f>J190/H190</f>
        <v>0.16089937808961888</v>
      </c>
      <c r="L190" t="str">
        <f t="array" ref="L190">_xlfn.IFS(J190&gt;15000,"Excellent",J190&gt;=5000,"Good",J190&lt;5000,"Poor")</f>
        <v>Poor</v>
      </c>
      <c r="M190">
        <f t="array" ref="M190">_xlfn.XLOOKUP(G190,' Employee_Salary'!$A$1:A194,' Employee_Salary'!$B$1:B194,FALSE)</f>
        <v>47000</v>
      </c>
      <c r="N190" s="9">
        <f>M190/H190</f>
        <v>3.7474087067453357</v>
      </c>
      <c r="O190" s="9">
        <f>IF(D190="Electronics",H190*5%,IF(D190="Furniture",H190*8%,0))</f>
        <v>627.1</v>
      </c>
      <c r="P190">
        <f>_xlfn.RANK.EQ(H190,$H$2:$H$201,0)</f>
        <v>133</v>
      </c>
      <c r="Q190">
        <f>SUMIFS($H$2:$H$201,$B$2:$B$201,"&lt;="&amp;B190)</f>
        <v>2264035</v>
      </c>
    </row>
    <row r="191" spans="1:17" x14ac:dyDescent="0.35">
      <c r="A191">
        <v>190</v>
      </c>
      <c r="B191" s="1">
        <v>45675</v>
      </c>
      <c r="C191" t="s">
        <v>14</v>
      </c>
      <c r="D191" t="s">
        <v>18</v>
      </c>
      <c r="E191" t="s">
        <v>26</v>
      </c>
      <c r="F191" t="s">
        <v>63</v>
      </c>
      <c r="G191" t="s">
        <v>35</v>
      </c>
      <c r="H191">
        <v>11297</v>
      </c>
      <c r="I191">
        <v>9166</v>
      </c>
      <c r="J191">
        <f>H191-I191</f>
        <v>2131</v>
      </c>
      <c r="K191" s="6">
        <f>J191/H191</f>
        <v>0.18863415065946712</v>
      </c>
      <c r="L191" t="str">
        <f t="array" ref="L191">_xlfn.IFS(J191&gt;15000,"Excellent",J191&gt;=5000,"Good",J191&lt;5000,"Poor")</f>
        <v>Poor</v>
      </c>
      <c r="M191">
        <f t="array" ref="M191">_xlfn.XLOOKUP(G191,' Employee_Salary'!$A$1:A195,' Employee_Salary'!$B$1:B195,FALSE)</f>
        <v>40000</v>
      </c>
      <c r="N191" s="9">
        <f>M191/H191</f>
        <v>3.5407630344339207</v>
      </c>
      <c r="O191" s="9">
        <f>IF(D191="Electronics",H191*5%,IF(D191="Furniture",H191*8%,0))</f>
        <v>564.85</v>
      </c>
      <c r="P191">
        <f>_xlfn.RANK.EQ(H191,$H$2:$H$201,0)</f>
        <v>144</v>
      </c>
      <c r="Q191">
        <f>SUMIFS($H$2:$H$201,$B$2:$B$201,"&lt;="&amp;B191)</f>
        <v>980127</v>
      </c>
    </row>
    <row r="192" spans="1:17" x14ac:dyDescent="0.35">
      <c r="A192">
        <v>191</v>
      </c>
      <c r="B192" s="1">
        <v>45662</v>
      </c>
      <c r="C192" t="s">
        <v>9</v>
      </c>
      <c r="D192" t="s">
        <v>18</v>
      </c>
      <c r="E192" t="s">
        <v>26</v>
      </c>
      <c r="F192" t="s">
        <v>71</v>
      </c>
      <c r="G192" t="s">
        <v>33</v>
      </c>
      <c r="H192">
        <v>20988</v>
      </c>
      <c r="I192">
        <v>14469</v>
      </c>
      <c r="J192">
        <f>H192-I192</f>
        <v>6519</v>
      </c>
      <c r="K192" s="6">
        <f>J192/H192</f>
        <v>0.31060606060606061</v>
      </c>
      <c r="L192" t="str">
        <f t="array" ref="L192">_xlfn.IFS(J192&gt;15000,"Excellent",J192&gt;=5000,"Good",J192&lt;5000,"Poor")</f>
        <v>Good</v>
      </c>
      <c r="M192">
        <f t="array" ref="M192">_xlfn.XLOOKUP(G192,' Employee_Salary'!$A$1:A196,' Employee_Salary'!$B$1:B196,FALSE)</f>
        <v>42000</v>
      </c>
      <c r="N192" s="9">
        <f>M192/H192</f>
        <v>2.0011435105774726</v>
      </c>
      <c r="O192" s="9">
        <f>IF(D192="Electronics",H192*5%,IF(D192="Furniture",H192*8%,0))</f>
        <v>1049.4000000000001</v>
      </c>
      <c r="P192">
        <f>_xlfn.RANK.EQ(H192,$H$2:$H$201,0)</f>
        <v>62</v>
      </c>
      <c r="Q192">
        <f>SUMIFS($H$2:$H$201,$B$2:$B$201,"&lt;="&amp;B192)</f>
        <v>226223</v>
      </c>
    </row>
    <row r="193" spans="1:17" x14ac:dyDescent="0.35">
      <c r="A193">
        <v>192</v>
      </c>
      <c r="B193" s="1">
        <v>45677</v>
      </c>
      <c r="C193" t="s">
        <v>9</v>
      </c>
      <c r="D193" t="s">
        <v>18</v>
      </c>
      <c r="E193" t="s">
        <v>29</v>
      </c>
      <c r="F193" t="s">
        <v>77</v>
      </c>
      <c r="G193" t="s">
        <v>13</v>
      </c>
      <c r="H193">
        <v>22125</v>
      </c>
      <c r="I193">
        <v>18956</v>
      </c>
      <c r="J193">
        <f>H193-I193</f>
        <v>3169</v>
      </c>
      <c r="K193" s="6">
        <f>J193/H193</f>
        <v>0.14323163841807909</v>
      </c>
      <c r="L193" t="str">
        <f t="array" ref="L193">_xlfn.IFS(J193&gt;15000,"Excellent",J193&gt;=5000,"Good",J193&lt;5000,"Poor")</f>
        <v>Poor</v>
      </c>
      <c r="M193">
        <f t="array" ref="M193">_xlfn.XLOOKUP(G193,' Employee_Salary'!$A$1:A197,' Employee_Salary'!$B$1:B197,FALSE)</f>
        <v>47000</v>
      </c>
      <c r="N193" s="9">
        <f>M193/H193</f>
        <v>2.1242937853107344</v>
      </c>
      <c r="O193" s="9">
        <f>IF(D193="Electronics",H193*5%,IF(D193="Furniture",H193*8%,0))</f>
        <v>1106.25</v>
      </c>
      <c r="P193">
        <f>_xlfn.RANK.EQ(H193,$H$2:$H$201,0)</f>
        <v>53</v>
      </c>
      <c r="Q193">
        <f>SUMIFS($H$2:$H$201,$B$2:$B$201,"&lt;="&amp;B193)</f>
        <v>1137341</v>
      </c>
    </row>
    <row r="194" spans="1:17" x14ac:dyDescent="0.35">
      <c r="A194">
        <v>193</v>
      </c>
      <c r="B194" s="1">
        <v>45699</v>
      </c>
      <c r="C194" t="s">
        <v>14</v>
      </c>
      <c r="D194" t="s">
        <v>18</v>
      </c>
      <c r="E194" t="s">
        <v>29</v>
      </c>
      <c r="F194" t="s">
        <v>54</v>
      </c>
      <c r="G194" t="s">
        <v>28</v>
      </c>
      <c r="H194">
        <v>24547</v>
      </c>
      <c r="I194">
        <v>22049</v>
      </c>
      <c r="J194">
        <f>H194-I194</f>
        <v>2498</v>
      </c>
      <c r="K194" s="6">
        <f>J194/H194</f>
        <v>0.10176396300973642</v>
      </c>
      <c r="L194" t="str">
        <f t="array" ref="L194">_xlfn.IFS(J194&gt;15000,"Excellent",J194&gt;=5000,"Good",J194&lt;5000,"Poor")</f>
        <v>Poor</v>
      </c>
      <c r="M194">
        <f t="array" ref="M194">_xlfn.XLOOKUP(G194,' Employee_Salary'!$A$1:A198,' Employee_Salary'!$B$1:B198,FALSE)</f>
        <v>45000</v>
      </c>
      <c r="N194" s="9">
        <f>M194/H194</f>
        <v>1.8332179085020572</v>
      </c>
      <c r="O194" s="9">
        <f>IF(D194="Electronics",H194*5%,IF(D194="Furniture",H194*8%,0))</f>
        <v>1227.3500000000001</v>
      </c>
      <c r="P194">
        <f>_xlfn.RANK.EQ(H194,$H$2:$H$201,0)</f>
        <v>33</v>
      </c>
      <c r="Q194">
        <f>SUMIFS($H$2:$H$201,$B$2:$B$201,"&lt;="&amp;B194)</f>
        <v>2264035</v>
      </c>
    </row>
    <row r="195" spans="1:17" x14ac:dyDescent="0.35">
      <c r="A195">
        <v>194</v>
      </c>
      <c r="B195" s="1">
        <v>45664</v>
      </c>
      <c r="C195" t="s">
        <v>9</v>
      </c>
      <c r="D195" t="s">
        <v>18</v>
      </c>
      <c r="E195" t="s">
        <v>29</v>
      </c>
      <c r="F195" t="s">
        <v>44</v>
      </c>
      <c r="G195" t="s">
        <v>33</v>
      </c>
      <c r="H195">
        <v>24450</v>
      </c>
      <c r="I195">
        <v>15331</v>
      </c>
      <c r="J195">
        <f>H195-I195</f>
        <v>9119</v>
      </c>
      <c r="K195" s="6">
        <f>J195/H195</f>
        <v>0.37296523517382413</v>
      </c>
      <c r="L195" t="str">
        <f t="array" ref="L195">_xlfn.IFS(J195&gt;15000,"Excellent",J195&gt;=5000,"Good",J195&lt;5000,"Poor")</f>
        <v>Good</v>
      </c>
      <c r="M195">
        <f t="array" ref="M195">_xlfn.XLOOKUP(G195,' Employee_Salary'!$A$1:A199,' Employee_Salary'!$B$1:B199,FALSE)</f>
        <v>42000</v>
      </c>
      <c r="N195" s="9">
        <f>M195/H195</f>
        <v>1.7177914110429449</v>
      </c>
      <c r="O195" s="9">
        <f>IF(D195="Electronics",H195*5%,IF(D195="Furniture",H195*8%,0))</f>
        <v>1222.5</v>
      </c>
      <c r="P195">
        <f>_xlfn.RANK.EQ(H195,$H$2:$H$201,0)</f>
        <v>34</v>
      </c>
      <c r="Q195">
        <f>SUMIFS($H$2:$H$201,$B$2:$B$201,"&lt;="&amp;B195)</f>
        <v>338728</v>
      </c>
    </row>
    <row r="196" spans="1:17" x14ac:dyDescent="0.35">
      <c r="A196">
        <v>195</v>
      </c>
      <c r="B196" s="1">
        <v>45690</v>
      </c>
      <c r="C196" t="s">
        <v>14</v>
      </c>
      <c r="D196" t="s">
        <v>10</v>
      </c>
      <c r="E196" t="s">
        <v>11</v>
      </c>
      <c r="F196" t="s">
        <v>47</v>
      </c>
      <c r="G196" t="s">
        <v>28</v>
      </c>
      <c r="H196">
        <v>6284</v>
      </c>
      <c r="I196">
        <v>4993</v>
      </c>
      <c r="J196">
        <f>H196-I196</f>
        <v>1291</v>
      </c>
      <c r="K196" s="6">
        <f>J196/H196</f>
        <v>0.20544239338001274</v>
      </c>
      <c r="L196" t="str">
        <f t="array" ref="L196">_xlfn.IFS(J196&gt;15000,"Excellent",J196&gt;=5000,"Good",J196&lt;5000,"Poor")</f>
        <v>Poor</v>
      </c>
      <c r="M196">
        <f t="array" ref="M196">_xlfn.XLOOKUP(G196,' Employee_Salary'!$A$1:A200,' Employee_Salary'!$B$1:B200,FALSE)</f>
        <v>45000</v>
      </c>
      <c r="N196" s="9">
        <f>M196/H196</f>
        <v>7.1610439210693828</v>
      </c>
      <c r="O196" s="9">
        <f>IF(D196="Electronics",H196*5%,IF(D196="Furniture",H196*8%,0))</f>
        <v>502.72</v>
      </c>
      <c r="P196">
        <f>_xlfn.RANK.EQ(H196,$H$2:$H$201,0)</f>
        <v>176</v>
      </c>
      <c r="Q196">
        <f>SUMIFS($H$2:$H$201,$B$2:$B$201,"&lt;="&amp;B196)</f>
        <v>1869415</v>
      </c>
    </row>
    <row r="197" spans="1:17" x14ac:dyDescent="0.35">
      <c r="A197">
        <v>196</v>
      </c>
      <c r="B197" s="1">
        <v>45702</v>
      </c>
      <c r="C197" t="s">
        <v>14</v>
      </c>
      <c r="D197" t="s">
        <v>18</v>
      </c>
      <c r="E197" t="s">
        <v>19</v>
      </c>
      <c r="F197" t="s">
        <v>49</v>
      </c>
      <c r="G197" t="s">
        <v>33</v>
      </c>
      <c r="H197">
        <v>12554</v>
      </c>
      <c r="I197">
        <v>7624</v>
      </c>
      <c r="J197">
        <f>H197-I197</f>
        <v>4930</v>
      </c>
      <c r="K197" s="6">
        <f>J197/H197</f>
        <v>0.39270352079018639</v>
      </c>
      <c r="L197" t="str">
        <f t="array" ref="L197">_xlfn.IFS(J197&gt;15000,"Excellent",J197&gt;=5000,"Good",J197&lt;5000,"Poor")</f>
        <v>Poor</v>
      </c>
      <c r="M197">
        <f t="array" ref="M197">_xlfn.XLOOKUP(G197,' Employee_Salary'!$A$1:A201,' Employee_Salary'!$B$1:B201,FALSE)</f>
        <v>42000</v>
      </c>
      <c r="N197" s="9">
        <f>M197/H197</f>
        <v>3.3455472359407361</v>
      </c>
      <c r="O197" s="9">
        <f>IF(D197="Electronics",H197*5%,IF(D197="Furniture",H197*8%,0))</f>
        <v>627.70000000000005</v>
      </c>
      <c r="P197">
        <f>_xlfn.RANK.EQ(H197,$H$2:$H$201,0)</f>
        <v>132</v>
      </c>
      <c r="Q197">
        <f>SUMIFS($H$2:$H$201,$B$2:$B$201,"&lt;="&amp;B197)</f>
        <v>2448350</v>
      </c>
    </row>
    <row r="198" spans="1:17" x14ac:dyDescent="0.35">
      <c r="A198">
        <v>197</v>
      </c>
      <c r="B198" s="1">
        <v>45682</v>
      </c>
      <c r="C198" t="s">
        <v>9</v>
      </c>
      <c r="D198" t="s">
        <v>10</v>
      </c>
      <c r="E198" t="s">
        <v>42</v>
      </c>
      <c r="F198" t="s">
        <v>73</v>
      </c>
      <c r="G198" t="s">
        <v>35</v>
      </c>
      <c r="H198">
        <v>3970</v>
      </c>
      <c r="I198">
        <v>3382</v>
      </c>
      <c r="J198">
        <f>H198-I198</f>
        <v>588</v>
      </c>
      <c r="K198" s="6">
        <f>J198/H198</f>
        <v>0.14811083123425692</v>
      </c>
      <c r="L198" t="str">
        <f t="array" ref="L198">_xlfn.IFS(J198&gt;15000,"Excellent",J198&gt;=5000,"Good",J198&lt;5000,"Poor")</f>
        <v>Poor</v>
      </c>
      <c r="M198">
        <f t="array" ref="M198">_xlfn.XLOOKUP(G198,' Employee_Salary'!$A$1:A202,' Employee_Salary'!$B$1:B202,FALSE)</f>
        <v>40000</v>
      </c>
      <c r="N198" s="9">
        <f>M198/H198</f>
        <v>10.075566750629722</v>
      </c>
      <c r="O198" s="9">
        <f>IF(D198="Electronics",H198*5%,IF(D198="Furniture",H198*8%,0))</f>
        <v>317.60000000000002</v>
      </c>
      <c r="P198">
        <f>_xlfn.RANK.EQ(H198,$H$2:$H$201,0)</f>
        <v>195</v>
      </c>
      <c r="Q198">
        <f>SUMIFS($H$2:$H$201,$B$2:$B$201,"&lt;="&amp;B198)</f>
        <v>1502635</v>
      </c>
    </row>
    <row r="199" spans="1:17" x14ac:dyDescent="0.35">
      <c r="A199">
        <v>198</v>
      </c>
      <c r="B199" s="1">
        <v>45710</v>
      </c>
      <c r="C199" t="s">
        <v>17</v>
      </c>
      <c r="D199" t="s">
        <v>10</v>
      </c>
      <c r="E199" t="s">
        <v>42</v>
      </c>
      <c r="F199" t="s">
        <v>73</v>
      </c>
      <c r="G199" t="s">
        <v>35</v>
      </c>
      <c r="H199">
        <v>7069</v>
      </c>
      <c r="I199">
        <v>4510</v>
      </c>
      <c r="J199">
        <f>H199-I199</f>
        <v>2559</v>
      </c>
      <c r="K199" s="6">
        <f>J199/H199</f>
        <v>0.36200311217994058</v>
      </c>
      <c r="L199" t="str">
        <f t="array" ref="L199">_xlfn.IFS(J199&gt;15000,"Excellent",J199&gt;=5000,"Good",J199&lt;5000,"Poor")</f>
        <v>Poor</v>
      </c>
      <c r="M199">
        <f t="array" ref="M199">_xlfn.XLOOKUP(G199,' Employee_Salary'!$A$1:A203,' Employee_Salary'!$B$1:B203,FALSE)</f>
        <v>40000</v>
      </c>
      <c r="N199" s="9">
        <f>M199/H199</f>
        <v>5.65850898288301</v>
      </c>
      <c r="O199" s="9">
        <f>IF(D199="Electronics",H199*5%,IF(D199="Furniture",H199*8%,0))</f>
        <v>565.52</v>
      </c>
      <c r="P199">
        <f>_xlfn.RANK.EQ(H199,$H$2:$H$201,0)</f>
        <v>170</v>
      </c>
      <c r="Q199">
        <f>SUMIFS($H$2:$H$201,$B$2:$B$201,"&lt;="&amp;B199)</f>
        <v>2944836</v>
      </c>
    </row>
    <row r="200" spans="1:17" x14ac:dyDescent="0.35">
      <c r="A200">
        <v>199</v>
      </c>
      <c r="B200" s="1">
        <v>45707</v>
      </c>
      <c r="C200" t="s">
        <v>14</v>
      </c>
      <c r="D200" t="s">
        <v>18</v>
      </c>
      <c r="E200" t="s">
        <v>19</v>
      </c>
      <c r="F200" t="s">
        <v>30</v>
      </c>
      <c r="G200" t="s">
        <v>35</v>
      </c>
      <c r="H200">
        <v>17934</v>
      </c>
      <c r="I200">
        <v>14381</v>
      </c>
      <c r="J200">
        <f>H200-I200</f>
        <v>3553</v>
      </c>
      <c r="K200" s="6">
        <f>J200/H200</f>
        <v>0.19811531169844987</v>
      </c>
      <c r="L200" t="str">
        <f t="array" ref="L200">_xlfn.IFS(J200&gt;15000,"Excellent",J200&gt;=5000,"Good",J200&lt;5000,"Poor")</f>
        <v>Poor</v>
      </c>
      <c r="M200">
        <f t="array" ref="M200">_xlfn.XLOOKUP(G200,' Employee_Salary'!$A$1:A204,' Employee_Salary'!$B$1:B204,FALSE)</f>
        <v>40000</v>
      </c>
      <c r="N200" s="9">
        <f>M200/H200</f>
        <v>2.2304003568640569</v>
      </c>
      <c r="O200" s="9">
        <f>IF(D200="Electronics",H200*5%,IF(D200="Furniture",H200*8%,0))</f>
        <v>896.7</v>
      </c>
      <c r="P200">
        <f>_xlfn.RANK.EQ(H200,$H$2:$H$201,0)</f>
        <v>83</v>
      </c>
      <c r="Q200">
        <f>SUMIFS($H$2:$H$201,$B$2:$B$201,"&lt;="&amp;B200)</f>
        <v>2808628</v>
      </c>
    </row>
    <row r="201" spans="1:17" x14ac:dyDescent="0.35">
      <c r="A201">
        <v>200</v>
      </c>
      <c r="B201" s="1">
        <v>45683</v>
      </c>
      <c r="C201" t="s">
        <v>37</v>
      </c>
      <c r="D201" t="s">
        <v>18</v>
      </c>
      <c r="E201" t="s">
        <v>29</v>
      </c>
      <c r="F201" t="s">
        <v>43</v>
      </c>
      <c r="G201" t="s">
        <v>35</v>
      </c>
      <c r="H201">
        <v>6437</v>
      </c>
      <c r="I201">
        <v>4292</v>
      </c>
      <c r="J201">
        <f>H201-I201</f>
        <v>2145</v>
      </c>
      <c r="K201" s="6">
        <f>J201/H201</f>
        <v>0.33322976541867327</v>
      </c>
      <c r="L201" t="str">
        <f t="array" ref="L201">_xlfn.IFS(J201&gt;15000,"Excellent",J201&gt;=5000,"Good",J201&lt;5000,"Poor")</f>
        <v>Poor</v>
      </c>
      <c r="M201">
        <f t="array" ref="M201">_xlfn.XLOOKUP(G201,' Employee_Salary'!$A$1:A205,' Employee_Salary'!$B$1:B205,FALSE)</f>
        <v>40000</v>
      </c>
      <c r="N201" s="9">
        <f>M201/H201</f>
        <v>6.2140748796022995</v>
      </c>
      <c r="O201" s="9">
        <f>IF(D201="Electronics",H201*5%,IF(D201="Furniture",H201*8%,0))</f>
        <v>321.85000000000002</v>
      </c>
      <c r="P201">
        <f>_xlfn.RANK.EQ(H201,$H$2:$H$201,0)</f>
        <v>174</v>
      </c>
      <c r="Q201">
        <f>SUMIFS($H$2:$H$201,$B$2:$B$201,"&lt;="&amp;B201)</f>
        <v>1589196</v>
      </c>
    </row>
  </sheetData>
  <conditionalFormatting sqref="S41">
    <cfRule type="cellIs" dxfId="0" priority="2" operator="lessThan">
      <formula>$J$1:$J$201 &lt; 0</formula>
    </cfRule>
  </conditionalFormatting>
  <conditionalFormatting sqref="S43">
    <cfRule type="expression" priority="1">
      <formula>$J$2&lt;0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election activeCell="H3" sqref="H3:K8"/>
    </sheetView>
  </sheetViews>
  <sheetFormatPr defaultRowHeight="14.5" x14ac:dyDescent="0.35"/>
  <cols>
    <col min="1" max="1" width="19.453125" customWidth="1"/>
    <col min="2" max="2" width="22.90625" customWidth="1"/>
  </cols>
  <sheetData>
    <row r="1" spans="1:2" x14ac:dyDescent="0.35">
      <c r="A1" t="str" cm="1">
        <f t="array" ref="A1:A9">_xlfn.UNIQUE(Assg!E1:E201)</f>
        <v>Product</v>
      </c>
      <c r="B1" t="s">
        <v>174</v>
      </c>
    </row>
    <row r="2" spans="1:2" x14ac:dyDescent="0.35">
      <c r="A2" t="str">
        <v>Table</v>
      </c>
      <c r="B2">
        <f>SUMIF(Assg!E1:E201,Product!A2,Assg!H1:H201)</f>
        <v>371146</v>
      </c>
    </row>
    <row r="3" spans="1:2" x14ac:dyDescent="0.35">
      <c r="A3" t="str">
        <v>Desk</v>
      </c>
      <c r="B3">
        <f>SUMIF(Assg!E2:E202,Product!A3,Assg!H2:H202)</f>
        <v>492768</v>
      </c>
    </row>
    <row r="4" spans="1:2" x14ac:dyDescent="0.35">
      <c r="A4" t="str">
        <v>Mobile</v>
      </c>
      <c r="B4">
        <f>SUMIF(Assg!E3:E203,Product!A4,Assg!H3:H203)</f>
        <v>381242</v>
      </c>
    </row>
    <row r="5" spans="1:2" x14ac:dyDescent="0.35">
      <c r="A5" t="str">
        <v>Chair</v>
      </c>
      <c r="B5">
        <f>SUMIF(Assg!E4:E204,Product!A5,Assg!H4:H204)</f>
        <v>308621</v>
      </c>
    </row>
    <row r="6" spans="1:2" x14ac:dyDescent="0.35">
      <c r="A6" t="str">
        <v>Laptop</v>
      </c>
      <c r="B6">
        <f>SUMIF(Assg!E5:E205,Product!A6,Assg!H5:H205)</f>
        <v>438222</v>
      </c>
    </row>
    <row r="7" spans="1:2" x14ac:dyDescent="0.35">
      <c r="A7" t="str">
        <v>Headphones</v>
      </c>
      <c r="B7">
        <f>SUMIF(Assg!E6:E206,Product!A7,Assg!H6:H206)</f>
        <v>407463</v>
      </c>
    </row>
    <row r="8" spans="1:2" x14ac:dyDescent="0.35">
      <c r="A8" t="str">
        <v>Tablet</v>
      </c>
      <c r="B8">
        <f>SUMIF(Assg!E7:E207,Product!A8,Assg!H7:H207)</f>
        <v>411456</v>
      </c>
    </row>
    <row r="9" spans="1:2" x14ac:dyDescent="0.35">
      <c r="A9" t="str">
        <v>Cupboard</v>
      </c>
      <c r="B9">
        <f>SUMIF(Assg!E8:E208,Product!A9,Assg!H8:H208)</f>
        <v>424282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AD5BD-FCA8-457A-8670-D60C7881E1C7}">
  <dimension ref="A1:Q201"/>
  <sheetViews>
    <sheetView topLeftCell="A2" workbookViewId="0">
      <selection activeCell="I9" sqref="I9"/>
    </sheetView>
  </sheetViews>
  <sheetFormatPr defaultRowHeight="14.5" x14ac:dyDescent="0.35"/>
  <cols>
    <col min="1" max="1" width="9.54296875" customWidth="1"/>
    <col min="2" max="2" width="21.36328125" customWidth="1"/>
    <col min="4" max="4" width="10.26953125" customWidth="1"/>
    <col min="5" max="5" width="9.453125" customWidth="1"/>
    <col min="6" max="6" width="15.90625" customWidth="1"/>
    <col min="7" max="7" width="16.26953125" customWidth="1"/>
    <col min="11" max="11" width="9.453125" customWidth="1"/>
    <col min="12" max="12" width="19.36328125" customWidth="1"/>
    <col min="14" max="14" width="15.81640625" customWidth="1"/>
    <col min="15" max="15" width="11.36328125" customWidth="1"/>
    <col min="17" max="17" width="15.26953125" customWidth="1"/>
  </cols>
  <sheetData>
    <row r="1" spans="1:17" x14ac:dyDescent="0.35">
      <c r="A1" t="s">
        <v>0</v>
      </c>
      <c r="B1" t="s">
        <v>1</v>
      </c>
      <c r="C1" t="s">
        <v>2</v>
      </c>
      <c r="D1" t="s">
        <v>3</v>
      </c>
      <c r="E1" t="s">
        <v>4</v>
      </c>
      <c r="F1" t="s">
        <v>5</v>
      </c>
      <c r="G1" t="s">
        <v>6</v>
      </c>
      <c r="H1" t="s">
        <v>7</v>
      </c>
      <c r="I1" t="s">
        <v>8</v>
      </c>
      <c r="J1" t="s">
        <v>100</v>
      </c>
      <c r="K1" t="s">
        <v>101</v>
      </c>
      <c r="L1" t="s">
        <v>129</v>
      </c>
      <c r="M1" t="s">
        <v>79</v>
      </c>
      <c r="N1" t="s">
        <v>138</v>
      </c>
      <c r="O1" t="s">
        <v>140</v>
      </c>
      <c r="P1" t="s">
        <v>142</v>
      </c>
      <c r="Q1" t="s">
        <v>155</v>
      </c>
    </row>
    <row r="2" spans="1:17" x14ac:dyDescent="0.35">
      <c r="A2">
        <v>1</v>
      </c>
      <c r="B2" s="1">
        <v>45660</v>
      </c>
      <c r="C2" t="s">
        <v>9</v>
      </c>
      <c r="D2" t="s">
        <v>10</v>
      </c>
      <c r="E2" t="s">
        <v>11</v>
      </c>
      <c r="F2" t="s">
        <v>12</v>
      </c>
      <c r="G2" t="s">
        <v>13</v>
      </c>
      <c r="H2">
        <v>5811</v>
      </c>
      <c r="I2">
        <v>5067</v>
      </c>
      <c r="J2">
        <f>H2-I2</f>
        <v>744</v>
      </c>
      <c r="K2" s="6">
        <f>J2/H2</f>
        <v>0.12803304078471864</v>
      </c>
      <c r="L2" t="str">
        <f t="array" ref="L2">_xlfn.IFS(J2&gt;15000,"Excellent",J2&gt;=5000,"Good",J2&lt;5000,"Poor")</f>
        <v>Poor</v>
      </c>
      <c r="M2">
        <f>_xlfn.XLOOKUP(G2,' Employee_Salary'!$A$2:$A$6,' Employee_Salary'!$B$2:$B$6)</f>
        <v>47000</v>
      </c>
      <c r="N2" s="9">
        <f>M2/H2</f>
        <v>8.0881087592496996</v>
      </c>
      <c r="O2" s="9">
        <f>IF(D2="Electronics",H2*5%,IF(D2="Furniture",H2*8%,0))</f>
        <v>464.88</v>
      </c>
      <c r="P2">
        <f>_xlfn.RANK.EQ(H2,$H$2:$H$201,0)</f>
        <v>179</v>
      </c>
      <c r="Q2">
        <f>SUMIFS($H$2:$H$201,$B$2:$B$201,"&lt;="&amp;B2)</f>
        <v>118866</v>
      </c>
    </row>
    <row r="3" spans="1:17" x14ac:dyDescent="0.35">
      <c r="A3">
        <v>2</v>
      </c>
      <c r="B3" s="1">
        <v>45710</v>
      </c>
      <c r="C3" t="s">
        <v>14</v>
      </c>
      <c r="D3" t="s">
        <v>10</v>
      </c>
      <c r="E3" t="s">
        <v>15</v>
      </c>
      <c r="F3" t="s">
        <v>16</v>
      </c>
      <c r="G3" t="s">
        <v>13</v>
      </c>
      <c r="H3">
        <v>13553</v>
      </c>
      <c r="I3">
        <v>8173</v>
      </c>
      <c r="J3">
        <f>H3-I3</f>
        <v>5380</v>
      </c>
      <c r="K3" s="6">
        <f>J3/H3</f>
        <v>0.39696008263853022</v>
      </c>
      <c r="L3" t="str">
        <f t="array" ref="L3">_xlfn.IFS(J3&gt;15000,"Excellent",J3&gt;=5000,"Good",J3&lt;5000,"Poor")</f>
        <v>Good</v>
      </c>
      <c r="M3">
        <f>_xlfn.XLOOKUP(G3,' Employee_Salary'!$A$1:A7,' Employee_Salary'!$B$1:B7,FALSE)</f>
        <v>47000</v>
      </c>
      <c r="N3" s="9">
        <f>M3/H3</f>
        <v>3.4678668929388325</v>
      </c>
      <c r="O3" s="9">
        <f>IF(D3="Electronics",H3*5%,IF(D3="Furniture",H3*8%,0))</f>
        <v>1084.24</v>
      </c>
      <c r="P3">
        <f>_xlfn.RANK.EQ(H3,$H$2:$H$201,0)</f>
        <v>120</v>
      </c>
      <c r="Q3">
        <f>SUMIFS($H$2:$H$201,$B$2:$B$201,"&lt;="&amp;B3)</f>
        <v>2944836</v>
      </c>
    </row>
    <row r="4" spans="1:17" x14ac:dyDescent="0.35">
      <c r="A4">
        <v>3</v>
      </c>
      <c r="B4" s="1">
        <v>45714</v>
      </c>
      <c r="C4" t="s">
        <v>17</v>
      </c>
      <c r="D4" t="s">
        <v>18</v>
      </c>
      <c r="E4" t="s">
        <v>19</v>
      </c>
      <c r="F4" t="s">
        <v>20</v>
      </c>
      <c r="G4" t="s">
        <v>13</v>
      </c>
      <c r="H4">
        <v>7987</v>
      </c>
      <c r="I4">
        <v>5653</v>
      </c>
      <c r="J4">
        <f>H4-I4</f>
        <v>2334</v>
      </c>
      <c r="K4" s="6">
        <f>J4/H4</f>
        <v>0.29222486540628523</v>
      </c>
      <c r="L4" t="str">
        <f t="array" ref="L4">_xlfn.IFS(J4&gt;15000,"Excellent",J4&gt;=5000,"Good",J4&lt;5000,"Poor")</f>
        <v>Poor</v>
      </c>
      <c r="M4">
        <f t="array" ref="M4">_xlfn.XLOOKUP(G4,' Employee_Salary'!$A$1:A8,' Employee_Salary'!$B$1:B8,FALSE)</f>
        <v>47000</v>
      </c>
      <c r="N4" s="9">
        <f>M4/H4</f>
        <v>5.884562413922624</v>
      </c>
      <c r="O4" s="9">
        <f>IF(D4="Electronics",H4*5%,IF(D4="Furniture",H4*8%,0))</f>
        <v>399.35</v>
      </c>
      <c r="P4">
        <f>_xlfn.RANK.EQ(H4,$H$2:$H$201,0)</f>
        <v>163</v>
      </c>
      <c r="Q4">
        <f>SUMIFS($H$2:$H$201,$B$2:$B$201,"&lt;="&amp;B4)</f>
        <v>3096876</v>
      </c>
    </row>
    <row r="5" spans="1:17" x14ac:dyDescent="0.35">
      <c r="A5">
        <v>4</v>
      </c>
      <c r="B5" s="1">
        <v>45710</v>
      </c>
      <c r="C5" t="s">
        <v>9</v>
      </c>
      <c r="D5" t="s">
        <v>10</v>
      </c>
      <c r="E5" t="s">
        <v>21</v>
      </c>
      <c r="F5" t="s">
        <v>22</v>
      </c>
      <c r="G5" t="s">
        <v>23</v>
      </c>
      <c r="H5">
        <v>3254</v>
      </c>
      <c r="I5">
        <v>2435</v>
      </c>
      <c r="J5">
        <f>H5-I5</f>
        <v>819</v>
      </c>
      <c r="K5" s="6">
        <f>J5/H5</f>
        <v>0.25169022741241548</v>
      </c>
      <c r="L5" t="str">
        <f t="array" ref="L5">_xlfn.IFS(J5&gt;15000,"Excellent",J5&gt;=5000,"Good",J5&lt;5000,"Poor")</f>
        <v>Poor</v>
      </c>
      <c r="M5">
        <f t="array" ref="M5">_xlfn.XLOOKUP(G5,' Employee_Salary'!$A$1:A9,' Employee_Salary'!$B$1:B9,FALSE)</f>
        <v>43000</v>
      </c>
      <c r="N5" s="9">
        <f>M5/H5</f>
        <v>13.214505224339275</v>
      </c>
      <c r="O5" s="9">
        <f>IF(D5="Electronics",H5*5%,IF(D5="Furniture",H5*8%,0))</f>
        <v>260.32</v>
      </c>
      <c r="P5">
        <f>_xlfn.RANK.EQ(H5,$H$2:$H$201,0)</f>
        <v>198</v>
      </c>
      <c r="Q5">
        <f>SUMIFS($H$2:$H$201,$B$2:$B$201,"&lt;="&amp;B5)</f>
        <v>2944836</v>
      </c>
    </row>
    <row r="6" spans="1:17" x14ac:dyDescent="0.35">
      <c r="A6">
        <v>5</v>
      </c>
      <c r="B6" s="1">
        <v>45702</v>
      </c>
      <c r="C6" t="s">
        <v>17</v>
      </c>
      <c r="D6" t="s">
        <v>18</v>
      </c>
      <c r="E6" t="s">
        <v>19</v>
      </c>
      <c r="F6" t="s">
        <v>24</v>
      </c>
      <c r="G6" t="s">
        <v>23</v>
      </c>
      <c r="H6">
        <v>13732</v>
      </c>
      <c r="I6">
        <v>11076</v>
      </c>
      <c r="J6">
        <f>H6-I6</f>
        <v>2656</v>
      </c>
      <c r="K6" s="6">
        <f>J6/H6</f>
        <v>0.19341683658607631</v>
      </c>
      <c r="L6" t="str">
        <f t="array" ref="L6">_xlfn.IFS(J6&gt;15000,"Excellent",J6&gt;=5000,"Good",J6&lt;5000,"Poor")</f>
        <v>Poor</v>
      </c>
      <c r="M6">
        <f t="array" ref="M6">_xlfn.XLOOKUP(G6,' Employee_Salary'!$A$1:A10,' Employee_Salary'!$B$1:B10,FALSE)</f>
        <v>43000</v>
      </c>
      <c r="N6" s="9">
        <f>M6/H6</f>
        <v>3.1313719778619284</v>
      </c>
      <c r="O6" s="9">
        <f>IF(D6="Electronics",H6*5%,IF(D6="Furniture",H6*8%,0))</f>
        <v>686.6</v>
      </c>
      <c r="P6">
        <f>_xlfn.RANK.EQ(H6,$H$2:$H$201,0)</f>
        <v>117</v>
      </c>
      <c r="Q6">
        <f>SUMIFS($H$2:$H$201,$B$2:$B$201,"&lt;="&amp;B6)</f>
        <v>2448350</v>
      </c>
    </row>
    <row r="7" spans="1:17" x14ac:dyDescent="0.35">
      <c r="A7">
        <v>6</v>
      </c>
      <c r="B7" s="1">
        <v>45669</v>
      </c>
      <c r="C7" t="s">
        <v>17</v>
      </c>
      <c r="D7" t="s">
        <v>10</v>
      </c>
      <c r="E7" t="s">
        <v>11</v>
      </c>
      <c r="F7" t="s">
        <v>25</v>
      </c>
      <c r="G7" t="s">
        <v>13</v>
      </c>
      <c r="H7">
        <v>17328</v>
      </c>
      <c r="I7">
        <v>14130</v>
      </c>
      <c r="J7">
        <f>H7-I7</f>
        <v>3198</v>
      </c>
      <c r="K7" s="6">
        <f>J7/H7</f>
        <v>0.18455678670360109</v>
      </c>
      <c r="L7" t="str">
        <f t="array" ref="L7">_xlfn.IFS(J7&gt;15000,"Excellent",J7&gt;=5000,"Good",J7&lt;5000,"Poor")</f>
        <v>Poor</v>
      </c>
      <c r="M7">
        <f t="array" ref="M7">_xlfn.XLOOKUP(G7,' Employee_Salary'!$A$1:A11,' Employee_Salary'!$B$1:B11,FALSE)</f>
        <v>47000</v>
      </c>
      <c r="N7" s="9">
        <f>M7/H7</f>
        <v>2.7123730378578026</v>
      </c>
      <c r="O7" s="9">
        <f>IF(D7="Electronics",H7*5%,IF(D7="Furniture",H7*8%,0))</f>
        <v>1386.24</v>
      </c>
      <c r="P7">
        <f>_xlfn.RANK.EQ(H7,$H$2:$H$201,0)</f>
        <v>90</v>
      </c>
      <c r="Q7">
        <f>SUMIFS($H$2:$H$201,$B$2:$B$201,"&lt;="&amp;B7)</f>
        <v>665652</v>
      </c>
    </row>
    <row r="8" spans="1:17" x14ac:dyDescent="0.35">
      <c r="A8">
        <v>7</v>
      </c>
      <c r="B8" s="1">
        <v>45687</v>
      </c>
      <c r="C8" t="s">
        <v>14</v>
      </c>
      <c r="D8" t="s">
        <v>18</v>
      </c>
      <c r="E8" t="s">
        <v>26</v>
      </c>
      <c r="F8" t="s">
        <v>27</v>
      </c>
      <c r="G8" t="s">
        <v>28</v>
      </c>
      <c r="H8">
        <v>16650</v>
      </c>
      <c r="I8">
        <v>14634</v>
      </c>
      <c r="J8">
        <f>H8-I8</f>
        <v>2016</v>
      </c>
      <c r="K8" s="6">
        <f>J8/H8</f>
        <v>0.12108108108108108</v>
      </c>
      <c r="L8" t="str">
        <f t="array" ref="L8">_xlfn.IFS(J8&gt;15000,"Excellent",J8&gt;=5000,"Good",J8&lt;5000,"Poor")</f>
        <v>Poor</v>
      </c>
      <c r="M8">
        <f t="array" ref="M8">_xlfn.XLOOKUP(G8,' Employee_Salary'!$A$1:A12,' Employee_Salary'!$B$1:B12,FALSE)</f>
        <v>45000</v>
      </c>
      <c r="N8" s="9">
        <f>M8/H8</f>
        <v>2.7027027027027026</v>
      </c>
      <c r="O8" s="9">
        <f>IF(D8="Electronics",H8*5%,IF(D8="Furniture",H8*8%,0))</f>
        <v>832.5</v>
      </c>
      <c r="P8">
        <f>_xlfn.RANK.EQ(H8,$H$2:$H$201,0)</f>
        <v>101</v>
      </c>
      <c r="Q8">
        <f>SUMIFS($H$2:$H$201,$B$2:$B$201,"&lt;="&amp;B8)</f>
        <v>1735136</v>
      </c>
    </row>
    <row r="9" spans="1:17" x14ac:dyDescent="0.35">
      <c r="A9">
        <v>8</v>
      </c>
      <c r="B9" s="1">
        <v>45661</v>
      </c>
      <c r="C9" t="s">
        <v>17</v>
      </c>
      <c r="D9" t="s">
        <v>18</v>
      </c>
      <c r="E9" t="s">
        <v>29</v>
      </c>
      <c r="F9" t="s">
        <v>30</v>
      </c>
      <c r="G9" t="s">
        <v>13</v>
      </c>
      <c r="H9">
        <v>4964</v>
      </c>
      <c r="I9">
        <v>3181</v>
      </c>
      <c r="J9">
        <f>H9-I9</f>
        <v>1783</v>
      </c>
      <c r="K9" s="6">
        <f>J9/H9</f>
        <v>0.35918614020950845</v>
      </c>
      <c r="L9" t="str">
        <f t="array" ref="L9">_xlfn.IFS(J9&gt;15000,"Excellent",J9&gt;=5000,"Good",J9&lt;5000,"Poor")</f>
        <v>Poor</v>
      </c>
      <c r="M9">
        <f t="array" ref="M9">_xlfn.XLOOKUP(G9,' Employee_Salary'!$A$1:A13,' Employee_Salary'!$B$1:B13,FALSE)</f>
        <v>47000</v>
      </c>
      <c r="N9" s="9">
        <f>M9/H9</f>
        <v>9.4681708299758256</v>
      </c>
      <c r="O9" s="9">
        <f>IF(D9="Electronics",H9*5%,IF(D9="Furniture",H9*8%,0))</f>
        <v>248.20000000000002</v>
      </c>
      <c r="P9">
        <f>_xlfn.RANK.EQ(H9,$H$2:$H$201,0)</f>
        <v>186</v>
      </c>
      <c r="Q9">
        <f>SUMIFS($H$2:$H$201,$B$2:$B$201,"&lt;="&amp;B9)</f>
        <v>165400</v>
      </c>
    </row>
    <row r="10" spans="1:17" x14ac:dyDescent="0.35">
      <c r="A10">
        <v>9</v>
      </c>
      <c r="B10" s="1">
        <v>45705</v>
      </c>
      <c r="C10" t="s">
        <v>14</v>
      </c>
      <c r="D10" t="s">
        <v>10</v>
      </c>
      <c r="E10" t="s">
        <v>11</v>
      </c>
      <c r="F10" t="s">
        <v>31</v>
      </c>
      <c r="G10" t="s">
        <v>23</v>
      </c>
      <c r="H10">
        <v>19497</v>
      </c>
      <c r="I10">
        <v>16208</v>
      </c>
      <c r="J10">
        <f>H10-I10</f>
        <v>3289</v>
      </c>
      <c r="K10" s="6">
        <f>J10/H10</f>
        <v>0.16869261937734009</v>
      </c>
      <c r="L10" t="str">
        <f t="array" ref="L10">_xlfn.IFS(J10&gt;15000,"Excellent",J10&gt;=5000,"Good",J10&lt;5000,"Poor")</f>
        <v>Poor</v>
      </c>
      <c r="M10">
        <f t="array" ref="M10">_xlfn.XLOOKUP(G10,' Employee_Salary'!$A$1:A14,' Employee_Salary'!$B$1:B14,FALSE)</f>
        <v>43000</v>
      </c>
      <c r="N10" s="9">
        <f>M10/H10</f>
        <v>2.2054675078217163</v>
      </c>
      <c r="O10" s="9">
        <f>IF(D10="Electronics",H10*5%,IF(D10="Furniture",H10*8%,0))</f>
        <v>1559.76</v>
      </c>
      <c r="P10">
        <f>_xlfn.RANK.EQ(H10,$H$2:$H$201,0)</f>
        <v>70</v>
      </c>
      <c r="Q10">
        <f>SUMIFS($H$2:$H$201,$B$2:$B$201,"&lt;="&amp;B10)</f>
        <v>2691046</v>
      </c>
    </row>
    <row r="11" spans="1:17" x14ac:dyDescent="0.35">
      <c r="A11">
        <v>10</v>
      </c>
      <c r="B11" s="1">
        <v>45693</v>
      </c>
      <c r="C11" t="s">
        <v>17</v>
      </c>
      <c r="D11" t="s">
        <v>18</v>
      </c>
      <c r="E11" t="s">
        <v>32</v>
      </c>
      <c r="F11" t="s">
        <v>25</v>
      </c>
      <c r="G11" t="s">
        <v>33</v>
      </c>
      <c r="H11">
        <v>29094</v>
      </c>
      <c r="I11">
        <v>19174</v>
      </c>
      <c r="J11">
        <f>H11-I11</f>
        <v>9920</v>
      </c>
      <c r="K11" s="6">
        <f>J11/H11</f>
        <v>0.34096377259916133</v>
      </c>
      <c r="L11" t="str">
        <f t="array" ref="L11">_xlfn.IFS(J11&gt;15000,"Excellent",J11&gt;=5000,"Good",J11&lt;5000,"Poor")</f>
        <v>Good</v>
      </c>
      <c r="M11">
        <f t="array" ref="M11">_xlfn.XLOOKUP(G11,' Employee_Salary'!$A$1:A15,' Employee_Salary'!$B$1:B15,FALSE)</f>
        <v>42000</v>
      </c>
      <c r="N11" s="9">
        <f>M11/H11</f>
        <v>1.4435966178593524</v>
      </c>
      <c r="O11" s="9">
        <f>IF(D11="Electronics",H11*5%,IF(D11="Furniture",H11*8%,0))</f>
        <v>1454.7</v>
      </c>
      <c r="P11">
        <f>_xlfn.RANK.EQ(H11,$H$2:$H$201,0)</f>
        <v>3</v>
      </c>
      <c r="Q11">
        <f>SUMIFS($H$2:$H$201,$B$2:$B$201,"&lt;="&amp;B11)</f>
        <v>1945841</v>
      </c>
    </row>
    <row r="12" spans="1:17" x14ac:dyDescent="0.35">
      <c r="A12">
        <v>11</v>
      </c>
      <c r="B12" s="1">
        <v>45666</v>
      </c>
      <c r="C12" t="s">
        <v>9</v>
      </c>
      <c r="D12" t="s">
        <v>18</v>
      </c>
      <c r="E12" t="s">
        <v>19</v>
      </c>
      <c r="F12" t="s">
        <v>34</v>
      </c>
      <c r="G12" t="s">
        <v>35</v>
      </c>
      <c r="H12">
        <v>27904</v>
      </c>
      <c r="I12">
        <v>24463</v>
      </c>
      <c r="J12">
        <f>H12-I12</f>
        <v>3441</v>
      </c>
      <c r="K12" s="6">
        <f>J12/H12</f>
        <v>0.12331565366972477</v>
      </c>
      <c r="L12" t="str">
        <f t="array" ref="L12">_xlfn.IFS(J12&gt;15000,"Excellent",J12&gt;=5000,"Good",J12&lt;5000,"Poor")</f>
        <v>Poor</v>
      </c>
      <c r="M12">
        <f t="array" ref="M12">_xlfn.XLOOKUP(G12,' Employee_Salary'!$A$1:A16,' Employee_Salary'!$B$1:B16,FALSE)</f>
        <v>40000</v>
      </c>
      <c r="N12" s="9">
        <f>M12/H12</f>
        <v>1.4334862385321101</v>
      </c>
      <c r="O12" s="9">
        <f>IF(D12="Electronics",H12*5%,IF(D12="Furniture",H12*8%,0))</f>
        <v>1395.2</v>
      </c>
      <c r="P12">
        <f>_xlfn.RANK.EQ(H12,$H$2:$H$201,0)</f>
        <v>14</v>
      </c>
      <c r="Q12">
        <f>SUMIFS($H$2:$H$201,$B$2:$B$201,"&lt;="&amp;B12)</f>
        <v>480218</v>
      </c>
    </row>
    <row r="13" spans="1:17" x14ac:dyDescent="0.35">
      <c r="A13">
        <v>12</v>
      </c>
      <c r="B13" s="1">
        <v>45680</v>
      </c>
      <c r="C13" t="s">
        <v>14</v>
      </c>
      <c r="D13" t="s">
        <v>18</v>
      </c>
      <c r="E13" t="s">
        <v>29</v>
      </c>
      <c r="F13" t="s">
        <v>36</v>
      </c>
      <c r="G13" t="s">
        <v>28</v>
      </c>
      <c r="H13">
        <v>9233</v>
      </c>
      <c r="I13">
        <v>6766</v>
      </c>
      <c r="J13">
        <f>H13-I13</f>
        <v>2467</v>
      </c>
      <c r="K13" s="6">
        <f>J13/H13</f>
        <v>0.26719376150763563</v>
      </c>
      <c r="L13" t="str">
        <f t="array" ref="L13">_xlfn.IFS(J13&gt;15000,"Excellent",J13&gt;=5000,"Good",J13&lt;5000,"Poor")</f>
        <v>Poor</v>
      </c>
      <c r="M13">
        <f t="array" ref="M13">_xlfn.XLOOKUP(G13,' Employee_Salary'!$A$1:A17,' Employee_Salary'!$B$1:B17,FALSE)</f>
        <v>45000</v>
      </c>
      <c r="N13" s="9">
        <f>M13/H13</f>
        <v>4.8738221596447522</v>
      </c>
      <c r="O13" s="9">
        <f>IF(D13="Electronics",H13*5%,IF(D13="Furniture",H13*8%,0))</f>
        <v>461.65000000000003</v>
      </c>
      <c r="P13">
        <f>_xlfn.RANK.EQ(H13,$H$2:$H$201,0)</f>
        <v>155</v>
      </c>
      <c r="Q13">
        <f>SUMIFS($H$2:$H$201,$B$2:$B$201,"&lt;="&amp;B13)</f>
        <v>1349916</v>
      </c>
    </row>
    <row r="14" spans="1:17" x14ac:dyDescent="0.35">
      <c r="A14">
        <v>13</v>
      </c>
      <c r="B14" s="1">
        <v>45713</v>
      </c>
      <c r="C14" t="s">
        <v>37</v>
      </c>
      <c r="D14" t="s">
        <v>10</v>
      </c>
      <c r="E14" t="s">
        <v>15</v>
      </c>
      <c r="F14" t="s">
        <v>38</v>
      </c>
      <c r="G14" t="s">
        <v>13</v>
      </c>
      <c r="H14">
        <v>27329</v>
      </c>
      <c r="I14">
        <v>18038</v>
      </c>
      <c r="J14">
        <f>H14-I14</f>
        <v>9291</v>
      </c>
      <c r="K14" s="6">
        <f>J14/H14</f>
        <v>0.33996853159647261</v>
      </c>
      <c r="L14" t="str">
        <f t="array" ref="L14">_xlfn.IFS(J14&gt;15000,"Excellent",J14&gt;=5000,"Good",J14&lt;5000,"Poor")</f>
        <v>Good</v>
      </c>
      <c r="M14">
        <f t="array" ref="M14">_xlfn.XLOOKUP(G14,' Employee_Salary'!$A$1:A18,' Employee_Salary'!$B$1:B18,FALSE)</f>
        <v>47000</v>
      </c>
      <c r="N14" s="9">
        <f>M14/H14</f>
        <v>1.7197848439386731</v>
      </c>
      <c r="O14" s="9">
        <f>IF(D14="Electronics",H14*5%,IF(D14="Furniture",H14*8%,0))</f>
        <v>2186.3200000000002</v>
      </c>
      <c r="P14">
        <f>_xlfn.RANK.EQ(H14,$H$2:$H$201,0)</f>
        <v>19</v>
      </c>
      <c r="Q14">
        <f>SUMIFS($H$2:$H$201,$B$2:$B$201,"&lt;="&amp;B14)</f>
        <v>3053221</v>
      </c>
    </row>
    <row r="15" spans="1:17" x14ac:dyDescent="0.35">
      <c r="A15">
        <v>14</v>
      </c>
      <c r="B15" s="1">
        <v>45700</v>
      </c>
      <c r="C15" t="s">
        <v>9</v>
      </c>
      <c r="D15" t="s">
        <v>10</v>
      </c>
      <c r="E15" t="s">
        <v>15</v>
      </c>
      <c r="F15" t="s">
        <v>39</v>
      </c>
      <c r="G15" t="s">
        <v>33</v>
      </c>
      <c r="H15">
        <v>6994</v>
      </c>
      <c r="I15">
        <v>5062</v>
      </c>
      <c r="J15">
        <f>H15-I15</f>
        <v>1932</v>
      </c>
      <c r="K15" s="6">
        <f>J15/H15</f>
        <v>0.27623677437803834</v>
      </c>
      <c r="L15" t="str">
        <f t="array" ref="L15">_xlfn.IFS(J15&gt;15000,"Excellent",J15&gt;=5000,"Good",J15&lt;5000,"Poor")</f>
        <v>Poor</v>
      </c>
      <c r="M15">
        <f t="array" ref="M15">_xlfn.XLOOKUP(G15,' Employee_Salary'!$A$1:A19,' Employee_Salary'!$B$1:B19,FALSE)</f>
        <v>42000</v>
      </c>
      <c r="N15" s="9">
        <f>M15/H15</f>
        <v>6.0051472690877894</v>
      </c>
      <c r="O15" s="9">
        <f>IF(D15="Electronics",H15*5%,IF(D15="Furniture",H15*8%,0))</f>
        <v>559.52</v>
      </c>
      <c r="P15">
        <f>_xlfn.RANK.EQ(H15,$H$2:$H$201,0)</f>
        <v>171</v>
      </c>
      <c r="Q15">
        <f>SUMIFS($H$2:$H$201,$B$2:$B$201,"&lt;="&amp;B15)</f>
        <v>2334388</v>
      </c>
    </row>
    <row r="16" spans="1:17" x14ac:dyDescent="0.35">
      <c r="A16">
        <v>15</v>
      </c>
      <c r="B16" s="1">
        <v>45684</v>
      </c>
      <c r="C16" t="s">
        <v>37</v>
      </c>
      <c r="D16" t="s">
        <v>10</v>
      </c>
      <c r="E16" t="s">
        <v>11</v>
      </c>
      <c r="F16" t="s">
        <v>40</v>
      </c>
      <c r="G16" t="s">
        <v>13</v>
      </c>
      <c r="H16">
        <v>6822</v>
      </c>
      <c r="I16">
        <v>5407</v>
      </c>
      <c r="J16">
        <f>H16-I16</f>
        <v>1415</v>
      </c>
      <c r="K16" s="6">
        <f>J16/H16</f>
        <v>0.20741717971269422</v>
      </c>
      <c r="L16" t="str">
        <f t="array" ref="L16">_xlfn.IFS(J16&gt;15000,"Excellent",J16&gt;=5000,"Good",J16&lt;5000,"Poor")</f>
        <v>Poor</v>
      </c>
      <c r="M16">
        <f t="array" ref="M16">_xlfn.XLOOKUP(G16,' Employee_Salary'!$A$1:A20,' Employee_Salary'!$B$1:B20,FALSE)</f>
        <v>47000</v>
      </c>
      <c r="N16" s="9">
        <f>M16/H16</f>
        <v>6.8894752272060975</v>
      </c>
      <c r="O16" s="9">
        <f>IF(D16="Electronics",H16*5%,IF(D16="Furniture",H16*8%,0))</f>
        <v>545.76</v>
      </c>
      <c r="P16">
        <f>_xlfn.RANK.EQ(H16,$H$2:$H$201,0)</f>
        <v>172</v>
      </c>
      <c r="Q16">
        <f>SUMIFS($H$2:$H$201,$B$2:$B$201,"&lt;="&amp;B16)</f>
        <v>1596018</v>
      </c>
    </row>
    <row r="17" spans="1:17" x14ac:dyDescent="0.35">
      <c r="A17">
        <v>16</v>
      </c>
      <c r="B17" s="1">
        <v>45670</v>
      </c>
      <c r="C17" t="s">
        <v>37</v>
      </c>
      <c r="D17" t="s">
        <v>18</v>
      </c>
      <c r="E17" t="s">
        <v>29</v>
      </c>
      <c r="F17" t="s">
        <v>34</v>
      </c>
      <c r="G17" t="s">
        <v>23</v>
      </c>
      <c r="H17">
        <v>14681</v>
      </c>
      <c r="I17">
        <v>11778</v>
      </c>
      <c r="J17">
        <f>H17-I17</f>
        <v>2903</v>
      </c>
      <c r="K17" s="6">
        <f>J17/H17</f>
        <v>0.19773857366664396</v>
      </c>
      <c r="L17" t="str">
        <f t="array" ref="L17">_xlfn.IFS(J17&gt;15000,"Excellent",J17&gt;=5000,"Good",J17&lt;5000,"Poor")</f>
        <v>Poor</v>
      </c>
      <c r="M17">
        <f t="array" ref="M17">_xlfn.XLOOKUP(G17,' Employee_Salary'!$A$1:A21,' Employee_Salary'!$B$1:B21,FALSE)</f>
        <v>43000</v>
      </c>
      <c r="N17" s="9">
        <f>M17/H17</f>
        <v>2.928955793202098</v>
      </c>
      <c r="O17" s="9">
        <f>IF(D17="Electronics",H17*5%,IF(D17="Furniture",H17*8%,0))</f>
        <v>734.05000000000007</v>
      </c>
      <c r="P17">
        <f>_xlfn.RANK.EQ(H17,$H$2:$H$201,0)</f>
        <v>111</v>
      </c>
      <c r="Q17">
        <f>SUMIFS($H$2:$H$201,$B$2:$B$201,"&lt;="&amp;B17)</f>
        <v>757644</v>
      </c>
    </row>
    <row r="18" spans="1:17" x14ac:dyDescent="0.35">
      <c r="A18">
        <v>17</v>
      </c>
      <c r="B18" s="1">
        <v>45671</v>
      </c>
      <c r="C18" t="s">
        <v>9</v>
      </c>
      <c r="D18" t="s">
        <v>18</v>
      </c>
      <c r="E18" t="s">
        <v>26</v>
      </c>
      <c r="F18" t="s">
        <v>41</v>
      </c>
      <c r="G18" t="s">
        <v>28</v>
      </c>
      <c r="H18">
        <v>21800</v>
      </c>
      <c r="I18">
        <v>16672</v>
      </c>
      <c r="J18">
        <f>H18-I18</f>
        <v>5128</v>
      </c>
      <c r="K18" s="6">
        <f>J18/H18</f>
        <v>0.23522935779816515</v>
      </c>
      <c r="L18" t="str">
        <f t="array" ref="L18">_xlfn.IFS(J18&gt;15000,"Excellent",J18&gt;=5000,"Good",J18&lt;5000,"Poor")</f>
        <v>Good</v>
      </c>
      <c r="M18">
        <f t="array" ref="M18">_xlfn.XLOOKUP(G18,' Employee_Salary'!$A$1:A22,' Employee_Salary'!$B$1:B22,FALSE)</f>
        <v>45000</v>
      </c>
      <c r="N18" s="9">
        <f>M18/H18</f>
        <v>2.0642201834862384</v>
      </c>
      <c r="O18" s="9">
        <f>IF(D18="Electronics",H18*5%,IF(D18="Furniture",H18*8%,0))</f>
        <v>1090</v>
      </c>
      <c r="P18">
        <f>_xlfn.RANK.EQ(H18,$H$2:$H$201,0)</f>
        <v>55</v>
      </c>
      <c r="Q18">
        <f>SUMIFS($H$2:$H$201,$B$2:$B$201,"&lt;="&amp;B18)</f>
        <v>841403</v>
      </c>
    </row>
    <row r="19" spans="1:17" x14ac:dyDescent="0.35">
      <c r="A19">
        <v>18</v>
      </c>
      <c r="B19" s="1">
        <v>45706</v>
      </c>
      <c r="C19" t="s">
        <v>37</v>
      </c>
      <c r="D19" t="s">
        <v>18</v>
      </c>
      <c r="E19" t="s">
        <v>29</v>
      </c>
      <c r="F19" t="s">
        <v>36</v>
      </c>
      <c r="G19" t="s">
        <v>35</v>
      </c>
      <c r="H19">
        <v>27543</v>
      </c>
      <c r="I19">
        <v>21241</v>
      </c>
      <c r="J19">
        <f>H19-I19</f>
        <v>6302</v>
      </c>
      <c r="K19" s="6">
        <f>J19/H19</f>
        <v>0.22880586718948553</v>
      </c>
      <c r="L19" t="str">
        <f t="array" ref="L19">_xlfn.IFS(J19&gt;15000,"Excellent",J19&gt;=5000,"Good",J19&lt;5000,"Poor")</f>
        <v>Good</v>
      </c>
      <c r="M19">
        <f t="array" ref="M19">_xlfn.XLOOKUP(G19,' Employee_Salary'!$A$1:A23,' Employee_Salary'!$B$1:B23,FALSE)</f>
        <v>40000</v>
      </c>
      <c r="N19" s="9">
        <f>M19/H19</f>
        <v>1.4522746251316123</v>
      </c>
      <c r="O19" s="9">
        <f>IF(D19="Electronics",H19*5%,IF(D19="Furniture",H19*8%,0))</f>
        <v>1377.15</v>
      </c>
      <c r="P19">
        <f>_xlfn.RANK.EQ(H19,$H$2:$H$201,0)</f>
        <v>17</v>
      </c>
      <c r="Q19">
        <f>SUMIFS($H$2:$H$201,$B$2:$B$201,"&lt;="&amp;B19)</f>
        <v>2761759</v>
      </c>
    </row>
    <row r="20" spans="1:17" x14ac:dyDescent="0.35">
      <c r="A20">
        <v>19</v>
      </c>
      <c r="B20" s="1">
        <v>45709</v>
      </c>
      <c r="C20" t="s">
        <v>17</v>
      </c>
      <c r="D20" t="s">
        <v>10</v>
      </c>
      <c r="E20" t="s">
        <v>42</v>
      </c>
      <c r="F20" t="s">
        <v>20</v>
      </c>
      <c r="G20" t="s">
        <v>28</v>
      </c>
      <c r="H20">
        <v>8177</v>
      </c>
      <c r="I20">
        <v>6277</v>
      </c>
      <c r="J20">
        <f>H20-I20</f>
        <v>1900</v>
      </c>
      <c r="K20" s="6">
        <f>J20/H20</f>
        <v>0.23235905588846764</v>
      </c>
      <c r="L20" t="str">
        <f t="array" ref="L20">_xlfn.IFS(J20&gt;15000,"Excellent",J20&gt;=5000,"Good",J20&lt;5000,"Poor")</f>
        <v>Poor</v>
      </c>
      <c r="M20">
        <f t="array" ref="M20">_xlfn.XLOOKUP(G20,' Employee_Salary'!$A$1:A24,' Employee_Salary'!$B$1:B24,FALSE)</f>
        <v>45000</v>
      </c>
      <c r="N20" s="9">
        <f>M20/H20</f>
        <v>5.5032407973584441</v>
      </c>
      <c r="O20" s="9">
        <f>IF(D20="Electronics",H20*5%,IF(D20="Furniture",H20*8%,0))</f>
        <v>654.16</v>
      </c>
      <c r="P20">
        <f>_xlfn.RANK.EQ(H20,$H$2:$H$201,0)</f>
        <v>162</v>
      </c>
      <c r="Q20">
        <f>SUMIFS($H$2:$H$201,$B$2:$B$201,"&lt;="&amp;B20)</f>
        <v>2860992</v>
      </c>
    </row>
    <row r="21" spans="1:17" x14ac:dyDescent="0.35">
      <c r="A21">
        <v>20</v>
      </c>
      <c r="B21" s="1">
        <v>45688</v>
      </c>
      <c r="C21" t="s">
        <v>14</v>
      </c>
      <c r="D21" t="s">
        <v>18</v>
      </c>
      <c r="E21" t="s">
        <v>32</v>
      </c>
      <c r="F21" t="s">
        <v>43</v>
      </c>
      <c r="G21" t="s">
        <v>33</v>
      </c>
      <c r="H21">
        <v>17261</v>
      </c>
      <c r="I21">
        <v>14516</v>
      </c>
      <c r="J21">
        <f>H21-I21</f>
        <v>2745</v>
      </c>
      <c r="K21" s="6">
        <f>J21/H21</f>
        <v>0.15902902496958463</v>
      </c>
      <c r="L21" t="str">
        <f t="array" ref="L21">_xlfn.IFS(J21&gt;15000,"Excellent",J21&gt;=5000,"Good",J21&lt;5000,"Poor")</f>
        <v>Poor</v>
      </c>
      <c r="M21">
        <f t="array" ref="M21">_xlfn.XLOOKUP(G21,' Employee_Salary'!$A$1:A25,' Employee_Salary'!$B$1:B25,FALSE)</f>
        <v>42000</v>
      </c>
      <c r="N21" s="9">
        <f>M21/H21</f>
        <v>2.4332309831411854</v>
      </c>
      <c r="O21" s="9">
        <f>IF(D21="Electronics",H21*5%,IF(D21="Furniture",H21*8%,0))</f>
        <v>863.05000000000007</v>
      </c>
      <c r="P21">
        <f>_xlfn.RANK.EQ(H21,$H$2:$H$201,0)</f>
        <v>92</v>
      </c>
      <c r="Q21">
        <f>SUMIFS($H$2:$H$201,$B$2:$B$201,"&lt;="&amp;B21)</f>
        <v>1789203</v>
      </c>
    </row>
    <row r="22" spans="1:17" x14ac:dyDescent="0.35">
      <c r="A22">
        <v>21</v>
      </c>
      <c r="B22" s="1">
        <v>45680</v>
      </c>
      <c r="C22" t="s">
        <v>37</v>
      </c>
      <c r="D22" t="s">
        <v>18</v>
      </c>
      <c r="E22" t="s">
        <v>26</v>
      </c>
      <c r="F22" t="s">
        <v>44</v>
      </c>
      <c r="G22" t="s">
        <v>28</v>
      </c>
      <c r="H22">
        <v>13080</v>
      </c>
      <c r="I22">
        <v>11394</v>
      </c>
      <c r="J22">
        <f>H22-I22</f>
        <v>1686</v>
      </c>
      <c r="K22" s="6">
        <f>J22/H22</f>
        <v>0.12889908256880733</v>
      </c>
      <c r="L22" t="str">
        <f t="array" ref="L22">_xlfn.IFS(J22&gt;15000,"Excellent",J22&gt;=5000,"Good",J22&lt;5000,"Poor")</f>
        <v>Poor</v>
      </c>
      <c r="M22">
        <f t="array" ref="M22">_xlfn.XLOOKUP(G22,' Employee_Salary'!$A$1:A26,' Employee_Salary'!$B$1:B26,FALSE)</f>
        <v>45000</v>
      </c>
      <c r="N22" s="9">
        <f>M22/H22</f>
        <v>3.4403669724770642</v>
      </c>
      <c r="O22" s="9">
        <f>IF(D22="Electronics",H22*5%,IF(D22="Furniture",H22*8%,0))</f>
        <v>654</v>
      </c>
      <c r="P22">
        <f>_xlfn.RANK.EQ(H22,$H$2:$H$201,0)</f>
        <v>123</v>
      </c>
      <c r="Q22">
        <f>SUMIFS($H$2:$H$201,$B$2:$B$201,"&lt;="&amp;B22)</f>
        <v>1349916</v>
      </c>
    </row>
    <row r="23" spans="1:17" x14ac:dyDescent="0.35">
      <c r="A23">
        <v>22</v>
      </c>
      <c r="B23" s="1">
        <v>45683</v>
      </c>
      <c r="C23" t="s">
        <v>9</v>
      </c>
      <c r="D23" t="s">
        <v>10</v>
      </c>
      <c r="E23" t="s">
        <v>15</v>
      </c>
      <c r="F23" t="s">
        <v>45</v>
      </c>
      <c r="G23" t="s">
        <v>33</v>
      </c>
      <c r="H23">
        <v>12676</v>
      </c>
      <c r="I23">
        <v>8182</v>
      </c>
      <c r="J23">
        <f>H23-I23</f>
        <v>4494</v>
      </c>
      <c r="K23" s="6">
        <f>J23/H23</f>
        <v>0.35452824234774377</v>
      </c>
      <c r="L23" t="str">
        <f t="array" ref="L23">_xlfn.IFS(J23&gt;15000,"Excellent",J23&gt;=5000,"Good",J23&lt;5000,"Poor")</f>
        <v>Poor</v>
      </c>
      <c r="M23">
        <f t="array" ref="M23">_xlfn.XLOOKUP(G23,' Employee_Salary'!$A$1:A27,' Employee_Salary'!$B$1:B27,FALSE)</f>
        <v>42000</v>
      </c>
      <c r="N23" s="9">
        <f>M23/H23</f>
        <v>3.3133480593247082</v>
      </c>
      <c r="O23" s="9">
        <f>IF(D23="Electronics",H23*5%,IF(D23="Furniture",H23*8%,0))</f>
        <v>1014.08</v>
      </c>
      <c r="P23">
        <f>_xlfn.RANK.EQ(H23,$H$2:$H$201,0)</f>
        <v>130</v>
      </c>
      <c r="Q23">
        <f>SUMIFS($H$2:$H$201,$B$2:$B$201,"&lt;="&amp;B23)</f>
        <v>1589196</v>
      </c>
    </row>
    <row r="24" spans="1:17" x14ac:dyDescent="0.35">
      <c r="A24">
        <v>23</v>
      </c>
      <c r="B24" s="1">
        <v>45679</v>
      </c>
      <c r="C24" t="s">
        <v>9</v>
      </c>
      <c r="D24" t="s">
        <v>10</v>
      </c>
      <c r="E24" t="s">
        <v>21</v>
      </c>
      <c r="F24" t="s">
        <v>45</v>
      </c>
      <c r="G24" t="s">
        <v>13</v>
      </c>
      <c r="H24">
        <v>12995</v>
      </c>
      <c r="I24">
        <v>10838</v>
      </c>
      <c r="J24">
        <f>H24-I24</f>
        <v>2157</v>
      </c>
      <c r="K24" s="6">
        <f>J24/H24</f>
        <v>0.16598691804540208</v>
      </c>
      <c r="L24" t="str">
        <f t="array" ref="L24">_xlfn.IFS(J24&gt;15000,"Excellent",J24&gt;=5000,"Good",J24&lt;5000,"Poor")</f>
        <v>Poor</v>
      </c>
      <c r="M24">
        <f t="array" ref="M24">_xlfn.XLOOKUP(G24,' Employee_Salary'!$A$1:A28,' Employee_Salary'!$B$1:B28,FALSE)</f>
        <v>47000</v>
      </c>
      <c r="N24" s="9">
        <f>M24/H24</f>
        <v>3.6167756829549829</v>
      </c>
      <c r="O24" s="9">
        <f>IF(D24="Electronics",H24*5%,IF(D24="Furniture",H24*8%,0))</f>
        <v>1039.5999999999999</v>
      </c>
      <c r="P24">
        <f>_xlfn.RANK.EQ(H24,$H$2:$H$201,0)</f>
        <v>124</v>
      </c>
      <c r="Q24">
        <f>SUMIFS($H$2:$H$201,$B$2:$B$201,"&lt;="&amp;B24)</f>
        <v>1247618</v>
      </c>
    </row>
    <row r="25" spans="1:17" x14ac:dyDescent="0.35">
      <c r="A25">
        <v>24</v>
      </c>
      <c r="B25" s="1">
        <v>45714</v>
      </c>
      <c r="C25" t="s">
        <v>17</v>
      </c>
      <c r="D25" t="s">
        <v>10</v>
      </c>
      <c r="E25" t="s">
        <v>15</v>
      </c>
      <c r="F25" t="s">
        <v>46</v>
      </c>
      <c r="G25" t="s">
        <v>33</v>
      </c>
      <c r="H25">
        <v>26402</v>
      </c>
      <c r="I25">
        <v>22809</v>
      </c>
      <c r="J25">
        <f>H25-I25</f>
        <v>3593</v>
      </c>
      <c r="K25" s="6">
        <f>J25/H25</f>
        <v>0.13608817513824711</v>
      </c>
      <c r="L25" t="str">
        <f t="array" ref="L25">_xlfn.IFS(J25&gt;15000,"Excellent",J25&gt;=5000,"Good",J25&lt;5000,"Poor")</f>
        <v>Poor</v>
      </c>
      <c r="M25">
        <f t="array" ref="M25">_xlfn.XLOOKUP(G25,' Employee_Salary'!$A$1:A29,' Employee_Salary'!$B$1:B29,FALSE)</f>
        <v>42000</v>
      </c>
      <c r="N25" s="9">
        <f>M25/H25</f>
        <v>1.590788576622983</v>
      </c>
      <c r="O25" s="9">
        <f>IF(D25="Electronics",H25*5%,IF(D25="Furniture",H25*8%,0))</f>
        <v>2112.16</v>
      </c>
      <c r="P25">
        <f>_xlfn.RANK.EQ(H25,$H$2:$H$201,0)</f>
        <v>27</v>
      </c>
      <c r="Q25">
        <f>SUMIFS($H$2:$H$201,$B$2:$B$201,"&lt;="&amp;B25)</f>
        <v>3096876</v>
      </c>
    </row>
    <row r="26" spans="1:17" x14ac:dyDescent="0.35">
      <c r="A26">
        <v>25</v>
      </c>
      <c r="B26" s="1">
        <v>45677</v>
      </c>
      <c r="C26" t="s">
        <v>17</v>
      </c>
      <c r="D26" t="s">
        <v>18</v>
      </c>
      <c r="E26" t="s">
        <v>29</v>
      </c>
      <c r="F26" t="s">
        <v>47</v>
      </c>
      <c r="G26" t="s">
        <v>33</v>
      </c>
      <c r="H26">
        <v>20499</v>
      </c>
      <c r="I26">
        <v>13107</v>
      </c>
      <c r="J26">
        <f>H26-I26</f>
        <v>7392</v>
      </c>
      <c r="K26" s="6">
        <f>J26/H26</f>
        <v>0.36060295624176791</v>
      </c>
      <c r="L26" t="str">
        <f t="array" ref="L26">_xlfn.IFS(J26&gt;15000,"Excellent",J26&gt;=5000,"Good",J26&lt;5000,"Poor")</f>
        <v>Good</v>
      </c>
      <c r="M26">
        <f t="array" ref="M26">_xlfn.XLOOKUP(G26,' Employee_Salary'!$A$1:A30,' Employee_Salary'!$B$1:B30,FALSE)</f>
        <v>42000</v>
      </c>
      <c r="N26" s="9">
        <f>M26/H26</f>
        <v>2.0488804331918629</v>
      </c>
      <c r="O26" s="9">
        <f>IF(D26="Electronics",H26*5%,IF(D26="Furniture",H26*8%,0))</f>
        <v>1024.95</v>
      </c>
      <c r="P26">
        <f>_xlfn.RANK.EQ(H26,$H$2:$H$201,0)</f>
        <v>63</v>
      </c>
      <c r="Q26">
        <f>SUMIFS($H$2:$H$201,$B$2:$B$201,"&lt;="&amp;B26)</f>
        <v>1137341</v>
      </c>
    </row>
    <row r="27" spans="1:17" x14ac:dyDescent="0.35">
      <c r="A27">
        <v>26</v>
      </c>
      <c r="B27" s="1">
        <v>45682</v>
      </c>
      <c r="C27" t="s">
        <v>37</v>
      </c>
      <c r="D27" t="s">
        <v>10</v>
      </c>
      <c r="E27" t="s">
        <v>11</v>
      </c>
      <c r="F27" t="s">
        <v>48</v>
      </c>
      <c r="G27" t="s">
        <v>35</v>
      </c>
      <c r="H27">
        <v>22507</v>
      </c>
      <c r="I27">
        <v>15607</v>
      </c>
      <c r="J27">
        <f>H27-I27</f>
        <v>6900</v>
      </c>
      <c r="K27" s="6">
        <f>J27/H27</f>
        <v>0.30657128893233215</v>
      </c>
      <c r="L27" t="str">
        <f t="array" ref="L27">_xlfn.IFS(J27&gt;15000,"Excellent",J27&gt;=5000,"Good",J27&lt;5000,"Poor")</f>
        <v>Good</v>
      </c>
      <c r="M27">
        <f t="array" ref="M27">_xlfn.XLOOKUP(G27,' Employee_Salary'!$A$1:A31,' Employee_Salary'!$B$1:B31,FALSE)</f>
        <v>40000</v>
      </c>
      <c r="N27" s="9">
        <f>M27/H27</f>
        <v>1.7772248633758387</v>
      </c>
      <c r="O27" s="9">
        <f>IF(D27="Electronics",H27*5%,IF(D27="Furniture",H27*8%,0))</f>
        <v>1800.56</v>
      </c>
      <c r="P27">
        <f>_xlfn.RANK.EQ(H27,$H$2:$H$201,0)</f>
        <v>50</v>
      </c>
      <c r="Q27">
        <f>SUMIFS($H$2:$H$201,$B$2:$B$201,"&lt;="&amp;B27)</f>
        <v>1502635</v>
      </c>
    </row>
    <row r="28" spans="1:17" x14ac:dyDescent="0.35">
      <c r="A28">
        <v>27</v>
      </c>
      <c r="B28" s="1">
        <v>45702</v>
      </c>
      <c r="C28" t="s">
        <v>37</v>
      </c>
      <c r="D28" t="s">
        <v>10</v>
      </c>
      <c r="E28" t="s">
        <v>21</v>
      </c>
      <c r="F28" t="s">
        <v>46</v>
      </c>
      <c r="G28" t="s">
        <v>35</v>
      </c>
      <c r="H28">
        <v>4786</v>
      </c>
      <c r="I28">
        <v>3412</v>
      </c>
      <c r="J28">
        <f>H28-I28</f>
        <v>1374</v>
      </c>
      <c r="K28" s="6">
        <f>J28/H28</f>
        <v>0.28708733806936898</v>
      </c>
      <c r="L28" t="str">
        <f t="array" ref="L28">_xlfn.IFS(J28&gt;15000,"Excellent",J28&gt;=5000,"Good",J28&lt;5000,"Poor")</f>
        <v>Poor</v>
      </c>
      <c r="M28">
        <f t="array" ref="M28">_xlfn.XLOOKUP(G28,' Employee_Salary'!$A$1:A32,' Employee_Salary'!$B$1:B32,FALSE)</f>
        <v>40000</v>
      </c>
      <c r="N28" s="9">
        <f>M28/H28</f>
        <v>8.3577099874634353</v>
      </c>
      <c r="O28" s="9">
        <f>IF(D28="Electronics",H28*5%,IF(D28="Furniture",H28*8%,0))</f>
        <v>382.88</v>
      </c>
      <c r="P28">
        <f>_xlfn.RANK.EQ(H28,$H$2:$H$201,0)</f>
        <v>189</v>
      </c>
      <c r="Q28">
        <f>SUMIFS($H$2:$H$201,$B$2:$B$201,"&lt;="&amp;B28)</f>
        <v>2448350</v>
      </c>
    </row>
    <row r="29" spans="1:17" x14ac:dyDescent="0.35">
      <c r="A29">
        <v>28</v>
      </c>
      <c r="B29" s="1">
        <v>45668</v>
      </c>
      <c r="C29" t="s">
        <v>9</v>
      </c>
      <c r="D29" t="s">
        <v>18</v>
      </c>
      <c r="E29" t="s">
        <v>26</v>
      </c>
      <c r="F29" t="s">
        <v>43</v>
      </c>
      <c r="G29" t="s">
        <v>28</v>
      </c>
      <c r="H29">
        <v>26850</v>
      </c>
      <c r="I29">
        <v>20892</v>
      </c>
      <c r="J29">
        <f>H29-I29</f>
        <v>5958</v>
      </c>
      <c r="K29" s="6">
        <f>J29/H29</f>
        <v>0.22189944134078213</v>
      </c>
      <c r="L29" t="str">
        <f t="array" ref="L29">_xlfn.IFS(J29&gt;15000,"Excellent",J29&gt;=5000,"Good",J29&lt;5000,"Poor")</f>
        <v>Good</v>
      </c>
      <c r="M29">
        <f t="array" ref="M29">_xlfn.XLOOKUP(G29,' Employee_Salary'!$A$1:A33,' Employee_Salary'!$B$1:B33,FALSE)</f>
        <v>45000</v>
      </c>
      <c r="N29" s="9">
        <f>M29/H29</f>
        <v>1.6759776536312849</v>
      </c>
      <c r="O29" s="9">
        <f>IF(D29="Electronics",H29*5%,IF(D29="Furniture",H29*8%,0))</f>
        <v>1342.5</v>
      </c>
      <c r="P29">
        <f>_xlfn.RANK.EQ(H29,$H$2:$H$201,0)</f>
        <v>22</v>
      </c>
      <c r="Q29">
        <f>SUMIFS($H$2:$H$201,$B$2:$B$201,"&lt;="&amp;B29)</f>
        <v>550830</v>
      </c>
    </row>
    <row r="30" spans="1:17" x14ac:dyDescent="0.35">
      <c r="A30">
        <v>29</v>
      </c>
      <c r="B30" s="1">
        <v>45687</v>
      </c>
      <c r="C30" t="s">
        <v>37</v>
      </c>
      <c r="D30" t="s">
        <v>18</v>
      </c>
      <c r="E30" t="s">
        <v>19</v>
      </c>
      <c r="F30" t="s">
        <v>49</v>
      </c>
      <c r="G30" t="s">
        <v>23</v>
      </c>
      <c r="H30">
        <v>19466</v>
      </c>
      <c r="I30">
        <v>17460</v>
      </c>
      <c r="J30">
        <f>H30-I30</f>
        <v>2006</v>
      </c>
      <c r="K30" s="6">
        <f>J30/H30</f>
        <v>0.10305147436556046</v>
      </c>
      <c r="L30" t="str">
        <f t="array" ref="L30">_xlfn.IFS(J30&gt;15000,"Excellent",J30&gt;=5000,"Good",J30&lt;5000,"Poor")</f>
        <v>Poor</v>
      </c>
      <c r="M30">
        <f t="array" ref="M30">_xlfn.XLOOKUP(G30,' Employee_Salary'!$A$1:A34,' Employee_Salary'!$B$1:B34,FALSE)</f>
        <v>43000</v>
      </c>
      <c r="N30" s="9">
        <f>M30/H30</f>
        <v>2.2089797595808074</v>
      </c>
      <c r="O30" s="9">
        <f>IF(D30="Electronics",H30*5%,IF(D30="Furniture",H30*8%,0))</f>
        <v>973.30000000000007</v>
      </c>
      <c r="P30">
        <f>_xlfn.RANK.EQ(H30,$H$2:$H$201,0)</f>
        <v>72</v>
      </c>
      <c r="Q30">
        <f>SUMIFS($H$2:$H$201,$B$2:$B$201,"&lt;="&amp;B30)</f>
        <v>1735136</v>
      </c>
    </row>
    <row r="31" spans="1:17" x14ac:dyDescent="0.35">
      <c r="A31">
        <v>30</v>
      </c>
      <c r="B31" s="1">
        <v>45703</v>
      </c>
      <c r="C31" t="s">
        <v>9</v>
      </c>
      <c r="D31" t="s">
        <v>10</v>
      </c>
      <c r="E31" t="s">
        <v>15</v>
      </c>
      <c r="F31" t="s">
        <v>36</v>
      </c>
      <c r="G31" t="s">
        <v>35</v>
      </c>
      <c r="H31">
        <v>14784</v>
      </c>
      <c r="I31">
        <v>9723</v>
      </c>
      <c r="J31">
        <f>H31-I31</f>
        <v>5061</v>
      </c>
      <c r="K31" s="6">
        <f>J31/H31</f>
        <v>0.34232954545454547</v>
      </c>
      <c r="L31" t="str">
        <f t="array" ref="L31">_xlfn.IFS(J31&gt;15000,"Excellent",J31&gt;=5000,"Good",J31&lt;5000,"Poor")</f>
        <v>Good</v>
      </c>
      <c r="M31">
        <f t="array" ref="M31">_xlfn.XLOOKUP(G31,' Employee_Salary'!$A$1:A35,' Employee_Salary'!$B$1:B35,FALSE)</f>
        <v>40000</v>
      </c>
      <c r="N31" s="9">
        <f>M31/H31</f>
        <v>2.7056277056277058</v>
      </c>
      <c r="O31" s="9">
        <f>IF(D31="Electronics",H31*5%,IF(D31="Furniture",H31*8%,0))</f>
        <v>1182.72</v>
      </c>
      <c r="P31">
        <f>_xlfn.RANK.EQ(H31,$H$2:$H$201,0)</f>
        <v>110</v>
      </c>
      <c r="Q31">
        <f>SUMIFS($H$2:$H$201,$B$2:$B$201,"&lt;="&amp;B31)</f>
        <v>2463134</v>
      </c>
    </row>
    <row r="32" spans="1:17" x14ac:dyDescent="0.35">
      <c r="A32">
        <v>31</v>
      </c>
      <c r="B32" s="1">
        <v>45670</v>
      </c>
      <c r="C32" t="s">
        <v>9</v>
      </c>
      <c r="D32" t="s">
        <v>18</v>
      </c>
      <c r="E32" t="s">
        <v>29</v>
      </c>
      <c r="F32" t="s">
        <v>50</v>
      </c>
      <c r="G32" t="s">
        <v>35</v>
      </c>
      <c r="H32">
        <v>28085</v>
      </c>
      <c r="I32">
        <v>22509</v>
      </c>
      <c r="J32">
        <f>H32-I32</f>
        <v>5576</v>
      </c>
      <c r="K32" s="6">
        <f>J32/H32</f>
        <v>0.19854014598540146</v>
      </c>
      <c r="L32" t="str">
        <f t="array" ref="L32">_xlfn.IFS(J32&gt;15000,"Excellent",J32&gt;=5000,"Good",J32&lt;5000,"Poor")</f>
        <v>Good</v>
      </c>
      <c r="M32">
        <f t="array" ref="M32">_xlfn.XLOOKUP(G32,' Employee_Salary'!$A$1:A36,' Employee_Salary'!$B$1:B36,FALSE)</f>
        <v>40000</v>
      </c>
      <c r="N32" s="9">
        <f>M32/H32</f>
        <v>1.424247819120527</v>
      </c>
      <c r="O32" s="9">
        <f>IF(D32="Electronics",H32*5%,IF(D32="Furniture",H32*8%,0))</f>
        <v>1404.25</v>
      </c>
      <c r="P32">
        <f>_xlfn.RANK.EQ(H32,$H$2:$H$201,0)</f>
        <v>12</v>
      </c>
      <c r="Q32">
        <f>SUMIFS($H$2:$H$201,$B$2:$B$201,"&lt;="&amp;B32)</f>
        <v>757644</v>
      </c>
    </row>
    <row r="33" spans="1:17" x14ac:dyDescent="0.35">
      <c r="A33">
        <v>32</v>
      </c>
      <c r="B33" s="1">
        <v>45675</v>
      </c>
      <c r="C33" t="s">
        <v>37</v>
      </c>
      <c r="D33" t="s">
        <v>18</v>
      </c>
      <c r="E33" t="s">
        <v>26</v>
      </c>
      <c r="F33" t="s">
        <v>51</v>
      </c>
      <c r="G33" t="s">
        <v>33</v>
      </c>
      <c r="H33">
        <v>11264</v>
      </c>
      <c r="I33">
        <v>9957</v>
      </c>
      <c r="J33">
        <f>H33-I33</f>
        <v>1307</v>
      </c>
      <c r="K33" s="6">
        <f>J33/H33</f>
        <v>0.11603338068181818</v>
      </c>
      <c r="L33" t="str">
        <f t="array" ref="L33">_xlfn.IFS(J33&gt;15000,"Excellent",J33&gt;=5000,"Good",J33&lt;5000,"Poor")</f>
        <v>Poor</v>
      </c>
      <c r="M33">
        <f t="array" ref="M33">_xlfn.XLOOKUP(G33,' Employee_Salary'!$A$1:A37,' Employee_Salary'!$B$1:B37,FALSE)</f>
        <v>42000</v>
      </c>
      <c r="N33" s="9">
        <f>M33/H33</f>
        <v>3.7286931818181817</v>
      </c>
      <c r="O33" s="9">
        <f>IF(D33="Electronics",H33*5%,IF(D33="Furniture",H33*8%,0))</f>
        <v>563.20000000000005</v>
      </c>
      <c r="P33">
        <f>_xlfn.RANK.EQ(H33,$H$2:$H$201,0)</f>
        <v>145</v>
      </c>
      <c r="Q33">
        <f>SUMIFS($H$2:$H$201,$B$2:$B$201,"&lt;="&amp;B33)</f>
        <v>980127</v>
      </c>
    </row>
    <row r="34" spans="1:17" x14ac:dyDescent="0.35">
      <c r="A34">
        <v>33</v>
      </c>
      <c r="B34" s="1">
        <v>45680</v>
      </c>
      <c r="C34" t="s">
        <v>17</v>
      </c>
      <c r="D34" t="s">
        <v>18</v>
      </c>
      <c r="E34" t="s">
        <v>29</v>
      </c>
      <c r="F34" t="s">
        <v>44</v>
      </c>
      <c r="G34" t="s">
        <v>28</v>
      </c>
      <c r="H34">
        <v>10384</v>
      </c>
      <c r="I34">
        <v>7534</v>
      </c>
      <c r="J34">
        <f>H34-I34</f>
        <v>2850</v>
      </c>
      <c r="K34" s="6">
        <f>J34/H34</f>
        <v>0.2744607087827427</v>
      </c>
      <c r="L34" t="str">
        <f t="array" ref="L34">_xlfn.IFS(J34&gt;15000,"Excellent",J34&gt;=5000,"Good",J34&lt;5000,"Poor")</f>
        <v>Poor</v>
      </c>
      <c r="M34">
        <f t="array" ref="M34">_xlfn.XLOOKUP(G34,' Employee_Salary'!$A$1:A38,' Employee_Salary'!$B$1:B38,FALSE)</f>
        <v>45000</v>
      </c>
      <c r="N34" s="9">
        <f>M34/H34</f>
        <v>4.3335901386748841</v>
      </c>
      <c r="O34" s="9">
        <f>IF(D34="Electronics",H34*5%,IF(D34="Furniture",H34*8%,0))</f>
        <v>519.20000000000005</v>
      </c>
      <c r="P34">
        <f>_xlfn.RANK.EQ(H34,$H$2:$H$201,0)</f>
        <v>149</v>
      </c>
      <c r="Q34">
        <f>SUMIFS($H$2:$H$201,$B$2:$B$201,"&lt;="&amp;B34)</f>
        <v>1349916</v>
      </c>
    </row>
    <row r="35" spans="1:17" x14ac:dyDescent="0.35">
      <c r="A35">
        <v>34</v>
      </c>
      <c r="B35" s="1">
        <v>45674</v>
      </c>
      <c r="C35" t="s">
        <v>14</v>
      </c>
      <c r="D35" t="s">
        <v>18</v>
      </c>
      <c r="E35" t="s">
        <v>19</v>
      </c>
      <c r="F35" t="s">
        <v>39</v>
      </c>
      <c r="G35" t="s">
        <v>33</v>
      </c>
      <c r="H35">
        <v>13816</v>
      </c>
      <c r="I35">
        <v>9688</v>
      </c>
      <c r="J35">
        <f>H35-I35</f>
        <v>4128</v>
      </c>
      <c r="K35" s="6">
        <f>J35/H35</f>
        <v>0.29878401852924147</v>
      </c>
      <c r="L35" t="str">
        <f t="array" ref="L35">_xlfn.IFS(J35&gt;15000,"Excellent",J35&gt;=5000,"Good",J35&lt;5000,"Poor")</f>
        <v>Poor</v>
      </c>
      <c r="M35">
        <f t="array" ref="M35">_xlfn.XLOOKUP(G35,' Employee_Salary'!$A$1:A39,' Employee_Salary'!$B$1:B39,FALSE)</f>
        <v>42000</v>
      </c>
      <c r="N35" s="9">
        <f>M35/H35</f>
        <v>3.039953676896352</v>
      </c>
      <c r="O35" s="9">
        <f>IF(D35="Electronics",H35*5%,IF(D35="Furniture",H35*8%,0))</f>
        <v>690.80000000000007</v>
      </c>
      <c r="P35">
        <f>_xlfn.RANK.EQ(H35,$H$2:$H$201,0)</f>
        <v>115</v>
      </c>
      <c r="Q35">
        <f>SUMIFS($H$2:$H$201,$B$2:$B$201,"&lt;="&amp;B35)</f>
        <v>947177</v>
      </c>
    </row>
    <row r="36" spans="1:17" x14ac:dyDescent="0.35">
      <c r="A36">
        <v>35</v>
      </c>
      <c r="B36" s="1">
        <v>45673</v>
      </c>
      <c r="C36" t="s">
        <v>9</v>
      </c>
      <c r="D36" t="s">
        <v>10</v>
      </c>
      <c r="E36" t="s">
        <v>15</v>
      </c>
      <c r="F36" t="s">
        <v>52</v>
      </c>
      <c r="G36" t="s">
        <v>13</v>
      </c>
      <c r="H36">
        <v>19945</v>
      </c>
      <c r="I36">
        <v>17781</v>
      </c>
      <c r="J36">
        <f>H36-I36</f>
        <v>2164</v>
      </c>
      <c r="K36" s="6">
        <f>J36/H36</f>
        <v>0.10849837051892705</v>
      </c>
      <c r="L36" t="str">
        <f t="array" ref="L36">_xlfn.IFS(J36&gt;15000,"Excellent",J36&gt;=5000,"Good",J36&lt;5000,"Poor")</f>
        <v>Poor</v>
      </c>
      <c r="M36">
        <f t="array" ref="M36">_xlfn.XLOOKUP(G36,' Employee_Salary'!$A$1:A40,' Employee_Salary'!$B$1:B40,FALSE)</f>
        <v>47000</v>
      </c>
      <c r="N36" s="9">
        <f>M36/H36</f>
        <v>2.3564803208824268</v>
      </c>
      <c r="O36" s="9">
        <f>IF(D36="Electronics",H36*5%,IF(D36="Furniture",H36*8%,0))</f>
        <v>1595.6000000000001</v>
      </c>
      <c r="P36">
        <f>_xlfn.RANK.EQ(H36,$H$2:$H$201,0)</f>
        <v>66</v>
      </c>
      <c r="Q36">
        <f>SUMIFS($H$2:$H$201,$B$2:$B$201,"&lt;="&amp;B36)</f>
        <v>933361</v>
      </c>
    </row>
    <row r="37" spans="1:17" x14ac:dyDescent="0.35">
      <c r="A37">
        <v>36</v>
      </c>
      <c r="B37" s="1">
        <v>45713</v>
      </c>
      <c r="C37" t="s">
        <v>9</v>
      </c>
      <c r="D37" t="s">
        <v>10</v>
      </c>
      <c r="E37" t="s">
        <v>15</v>
      </c>
      <c r="F37" t="s">
        <v>40</v>
      </c>
      <c r="G37" t="s">
        <v>28</v>
      </c>
      <c r="H37">
        <v>12316</v>
      </c>
      <c r="I37">
        <v>10577</v>
      </c>
      <c r="J37">
        <f>H37-I37</f>
        <v>1739</v>
      </c>
      <c r="K37" s="6">
        <f>J37/H37</f>
        <v>0.14119844105228971</v>
      </c>
      <c r="L37" t="str">
        <f t="array" ref="L37">_xlfn.IFS(J37&gt;15000,"Excellent",J37&gt;=5000,"Good",J37&lt;5000,"Poor")</f>
        <v>Poor</v>
      </c>
      <c r="M37">
        <f t="array" ref="M37">_xlfn.XLOOKUP(G37,' Employee_Salary'!$A$1:A41,' Employee_Salary'!$B$1:B41,FALSE)</f>
        <v>45000</v>
      </c>
      <c r="N37" s="9">
        <f>M37/H37</f>
        <v>3.6537836960051964</v>
      </c>
      <c r="O37" s="9">
        <f>IF(D37="Electronics",H37*5%,IF(D37="Furniture",H37*8%,0))</f>
        <v>985.28</v>
      </c>
      <c r="P37">
        <f>_xlfn.RANK.EQ(H37,$H$2:$H$201,0)</f>
        <v>135</v>
      </c>
      <c r="Q37">
        <f>SUMIFS($H$2:$H$201,$B$2:$B$201,"&lt;="&amp;B37)</f>
        <v>3053221</v>
      </c>
    </row>
    <row r="38" spans="1:17" x14ac:dyDescent="0.35">
      <c r="A38">
        <v>37</v>
      </c>
      <c r="B38" s="1">
        <v>45658</v>
      </c>
      <c r="C38" t="s">
        <v>9</v>
      </c>
      <c r="D38" t="s">
        <v>18</v>
      </c>
      <c r="E38" t="s">
        <v>26</v>
      </c>
      <c r="F38" t="s">
        <v>53</v>
      </c>
      <c r="G38" t="s">
        <v>33</v>
      </c>
      <c r="H38">
        <v>5269</v>
      </c>
      <c r="I38">
        <v>3833</v>
      </c>
      <c r="J38">
        <f>H38-I38</f>
        <v>1436</v>
      </c>
      <c r="K38" s="6">
        <f>J38/H38</f>
        <v>0.27253748339343331</v>
      </c>
      <c r="L38" t="str">
        <f t="array" ref="L38">_xlfn.IFS(J38&gt;15000,"Excellent",J38&gt;=5000,"Good",J38&lt;5000,"Poor")</f>
        <v>Poor</v>
      </c>
      <c r="M38">
        <f t="array" ref="M38">_xlfn.XLOOKUP(G38,' Employee_Salary'!$A$1:A42,' Employee_Salary'!$B$1:B42,FALSE)</f>
        <v>42000</v>
      </c>
      <c r="N38" s="9">
        <f>M38/H38</f>
        <v>7.9711520212564055</v>
      </c>
      <c r="O38" s="9">
        <f>IF(D38="Electronics",H38*5%,IF(D38="Furniture",H38*8%,0))</f>
        <v>263.45</v>
      </c>
      <c r="P38">
        <f>_xlfn.RANK.EQ(H38,$H$2:$H$201,0)</f>
        <v>182</v>
      </c>
      <c r="Q38">
        <f>SUMIFS($H$2:$H$201,$B$2:$B$201,"&lt;="&amp;B38)</f>
        <v>49160</v>
      </c>
    </row>
    <row r="39" spans="1:17" x14ac:dyDescent="0.35">
      <c r="A39">
        <v>38</v>
      </c>
      <c r="B39" s="1">
        <v>45661</v>
      </c>
      <c r="C39" t="s">
        <v>14</v>
      </c>
      <c r="D39" t="s">
        <v>10</v>
      </c>
      <c r="E39" t="s">
        <v>15</v>
      </c>
      <c r="F39" t="s">
        <v>43</v>
      </c>
      <c r="G39" t="s">
        <v>33</v>
      </c>
      <c r="H39">
        <v>23738</v>
      </c>
      <c r="I39">
        <v>16560</v>
      </c>
      <c r="J39">
        <f>H39-I39</f>
        <v>7178</v>
      </c>
      <c r="K39" s="6">
        <f>J39/H39</f>
        <v>0.30238436262532647</v>
      </c>
      <c r="L39" t="str">
        <f t="array" ref="L39">_xlfn.IFS(J39&gt;15000,"Excellent",J39&gt;=5000,"Good",J39&lt;5000,"Poor")</f>
        <v>Good</v>
      </c>
      <c r="M39">
        <f t="array" ref="M39">_xlfn.XLOOKUP(G39,' Employee_Salary'!$A$1:A43,' Employee_Salary'!$B$1:B43,FALSE)</f>
        <v>42000</v>
      </c>
      <c r="N39" s="9">
        <f>M39/H39</f>
        <v>1.7693150223270706</v>
      </c>
      <c r="O39" s="9">
        <f>IF(D39="Electronics",H39*5%,IF(D39="Furniture",H39*8%,0))</f>
        <v>1899.04</v>
      </c>
      <c r="P39">
        <f>_xlfn.RANK.EQ(H39,$H$2:$H$201,0)</f>
        <v>40</v>
      </c>
      <c r="Q39">
        <f>SUMIFS($H$2:$H$201,$B$2:$B$201,"&lt;="&amp;B39)</f>
        <v>165400</v>
      </c>
    </row>
    <row r="40" spans="1:17" x14ac:dyDescent="0.35">
      <c r="A40">
        <v>39</v>
      </c>
      <c r="B40" s="1">
        <v>45717</v>
      </c>
      <c r="C40" t="s">
        <v>37</v>
      </c>
      <c r="D40" t="s">
        <v>10</v>
      </c>
      <c r="E40" t="s">
        <v>11</v>
      </c>
      <c r="F40" t="s">
        <v>27</v>
      </c>
      <c r="G40" t="s">
        <v>23</v>
      </c>
      <c r="H40">
        <v>23819</v>
      </c>
      <c r="I40">
        <v>17508</v>
      </c>
      <c r="J40">
        <f>H40-I40</f>
        <v>6311</v>
      </c>
      <c r="K40" s="6">
        <f>J40/H40</f>
        <v>0.26495654729417689</v>
      </c>
      <c r="L40" t="str">
        <f t="array" ref="L40">_xlfn.IFS(J40&gt;15000,"Excellent",J40&gt;=5000,"Good",J40&lt;5000,"Poor")</f>
        <v>Good</v>
      </c>
      <c r="M40">
        <f t="array" ref="M40">_xlfn.XLOOKUP(G40,' Employee_Salary'!$A$1:A44,' Employee_Salary'!$B$1:B44,FALSE)</f>
        <v>43000</v>
      </c>
      <c r="N40" s="9">
        <f>M40/H40</f>
        <v>1.8052814979638103</v>
      </c>
      <c r="O40" s="9">
        <f>IF(D40="Electronics",H40*5%,IF(D40="Furniture",H40*8%,0))</f>
        <v>1905.52</v>
      </c>
      <c r="P40">
        <f>_xlfn.RANK.EQ(H40,$H$2:$H$201,0)</f>
        <v>39</v>
      </c>
      <c r="Q40">
        <f>SUMIFS($H$2:$H$201,$B$2:$B$201,"&lt;="&amp;B40)</f>
        <v>3235200</v>
      </c>
    </row>
    <row r="41" spans="1:17" x14ac:dyDescent="0.35">
      <c r="A41">
        <v>40</v>
      </c>
      <c r="B41" s="1">
        <v>45696</v>
      </c>
      <c r="C41" t="s">
        <v>14</v>
      </c>
      <c r="D41" t="s">
        <v>18</v>
      </c>
      <c r="E41" t="s">
        <v>26</v>
      </c>
      <c r="F41" t="s">
        <v>38</v>
      </c>
      <c r="G41" t="s">
        <v>23</v>
      </c>
      <c r="H41">
        <v>4280</v>
      </c>
      <c r="I41">
        <v>2925</v>
      </c>
      <c r="J41">
        <f>H41-I41</f>
        <v>1355</v>
      </c>
      <c r="K41" s="6">
        <f>J41/H41</f>
        <v>0.31658878504672899</v>
      </c>
      <c r="L41" t="str">
        <f t="array" ref="L41">_xlfn.IFS(J41&gt;15000,"Excellent",J41&gt;=5000,"Good",J41&lt;5000,"Poor")</f>
        <v>Poor</v>
      </c>
      <c r="M41">
        <f t="array" ref="M41">_xlfn.XLOOKUP(G41,' Employee_Salary'!$A$1:A45,' Employee_Salary'!$B$1:B45,FALSE)</f>
        <v>43000</v>
      </c>
      <c r="N41" s="9">
        <f>M41/H41</f>
        <v>10.046728971962617</v>
      </c>
      <c r="O41" s="9">
        <f>IF(D41="Electronics",H41*5%,IF(D41="Furniture",H41*8%,0))</f>
        <v>214</v>
      </c>
      <c r="P41">
        <f>_xlfn.RANK.EQ(H41,$H$2:$H$201,0)</f>
        <v>192</v>
      </c>
      <c r="Q41">
        <f>SUMIFS($H$2:$H$201,$B$2:$B$201,"&lt;="&amp;B41)</f>
        <v>2074177</v>
      </c>
    </row>
    <row r="42" spans="1:17" x14ac:dyDescent="0.35">
      <c r="A42">
        <v>41</v>
      </c>
      <c r="B42" s="1">
        <v>45691</v>
      </c>
      <c r="C42" t="s">
        <v>17</v>
      </c>
      <c r="D42" t="s">
        <v>18</v>
      </c>
      <c r="E42" t="s">
        <v>26</v>
      </c>
      <c r="F42" t="s">
        <v>54</v>
      </c>
      <c r="G42" t="s">
        <v>33</v>
      </c>
      <c r="H42">
        <v>18083</v>
      </c>
      <c r="I42">
        <v>13861</v>
      </c>
      <c r="J42">
        <f>H42-I42</f>
        <v>4222</v>
      </c>
      <c r="K42" s="6">
        <f>J42/H42</f>
        <v>0.23347895813747718</v>
      </c>
      <c r="L42" t="str">
        <f t="array" ref="L42">_xlfn.IFS(J42&gt;15000,"Excellent",J42&gt;=5000,"Good",J42&lt;5000,"Poor")</f>
        <v>Poor</v>
      </c>
      <c r="M42">
        <f t="array" ref="M42">_xlfn.XLOOKUP(G42,' Employee_Salary'!$A$1:A46,' Employee_Salary'!$B$1:B46,FALSE)</f>
        <v>42000</v>
      </c>
      <c r="N42" s="9">
        <f>M42/H42</f>
        <v>2.3226234584969307</v>
      </c>
      <c r="O42" s="9">
        <f>IF(D42="Electronics",H42*5%,IF(D42="Furniture",H42*8%,0))</f>
        <v>904.15000000000009</v>
      </c>
      <c r="P42">
        <f>_xlfn.RANK.EQ(H42,$H$2:$H$201,0)</f>
        <v>80</v>
      </c>
      <c r="Q42">
        <f>SUMIFS($H$2:$H$201,$B$2:$B$201,"&lt;="&amp;B42)</f>
        <v>1908942</v>
      </c>
    </row>
    <row r="43" spans="1:17" x14ac:dyDescent="0.35">
      <c r="A43">
        <v>42</v>
      </c>
      <c r="B43" s="1">
        <v>45681</v>
      </c>
      <c r="C43" t="s">
        <v>14</v>
      </c>
      <c r="D43" t="s">
        <v>10</v>
      </c>
      <c r="E43" t="s">
        <v>15</v>
      </c>
      <c r="F43" t="s">
        <v>46</v>
      </c>
      <c r="G43" t="s">
        <v>13</v>
      </c>
      <c r="H43">
        <v>22615</v>
      </c>
      <c r="I43">
        <v>14629</v>
      </c>
      <c r="J43">
        <f>H43-I43</f>
        <v>7986</v>
      </c>
      <c r="K43" s="6">
        <f>J43/H43</f>
        <v>0.35312845456555386</v>
      </c>
      <c r="L43" t="str">
        <f t="array" ref="L43">_xlfn.IFS(J43&gt;15000,"Excellent",J43&gt;=5000,"Good",J43&lt;5000,"Poor")</f>
        <v>Good</v>
      </c>
      <c r="M43">
        <f t="array" ref="M43">_xlfn.XLOOKUP(G43,' Employee_Salary'!$A$1:A47,' Employee_Salary'!$B$1:B47,FALSE)</f>
        <v>47000</v>
      </c>
      <c r="N43" s="9">
        <f>M43/H43</f>
        <v>2.0782666371877072</v>
      </c>
      <c r="O43" s="9">
        <f>IF(D43="Electronics",H43*5%,IF(D43="Furniture",H43*8%,0))</f>
        <v>1809.2</v>
      </c>
      <c r="P43">
        <f>_xlfn.RANK.EQ(H43,$H$2:$H$201,0)</f>
        <v>48</v>
      </c>
      <c r="Q43">
        <f>SUMIFS($H$2:$H$201,$B$2:$B$201,"&lt;="&amp;B43)</f>
        <v>1463299</v>
      </c>
    </row>
    <row r="44" spans="1:17" x14ac:dyDescent="0.35">
      <c r="A44">
        <v>43</v>
      </c>
      <c r="B44" s="1">
        <v>45668</v>
      </c>
      <c r="C44" t="s">
        <v>17</v>
      </c>
      <c r="D44" t="s">
        <v>18</v>
      </c>
      <c r="E44" t="s">
        <v>32</v>
      </c>
      <c r="F44" t="s">
        <v>12</v>
      </c>
      <c r="G44" t="s">
        <v>33</v>
      </c>
      <c r="H44">
        <v>16811</v>
      </c>
      <c r="I44">
        <v>13746</v>
      </c>
      <c r="J44">
        <f>H44-I44</f>
        <v>3065</v>
      </c>
      <c r="K44" s="6">
        <f>J44/H44</f>
        <v>0.18232109928023318</v>
      </c>
      <c r="L44" t="str">
        <f t="array" ref="L44">_xlfn.IFS(J44&gt;15000,"Excellent",J44&gt;=5000,"Good",J44&lt;5000,"Poor")</f>
        <v>Poor</v>
      </c>
      <c r="M44">
        <f t="array" ref="M44">_xlfn.XLOOKUP(G44,' Employee_Salary'!$A$1:A48,' Employee_Salary'!$B$1:B48,FALSE)</f>
        <v>42000</v>
      </c>
      <c r="N44" s="9">
        <f>M44/H44</f>
        <v>2.4983641663196718</v>
      </c>
      <c r="O44" s="9">
        <f>IF(D44="Electronics",H44*5%,IF(D44="Furniture",H44*8%,0))</f>
        <v>840.55000000000007</v>
      </c>
      <c r="P44">
        <f>_xlfn.RANK.EQ(H44,$H$2:$H$201,0)</f>
        <v>97</v>
      </c>
      <c r="Q44">
        <f>SUMIFS($H$2:$H$201,$B$2:$B$201,"&lt;="&amp;B44)</f>
        <v>550830</v>
      </c>
    </row>
    <row r="45" spans="1:17" x14ac:dyDescent="0.35">
      <c r="A45">
        <v>44</v>
      </c>
      <c r="B45" s="1">
        <v>45682</v>
      </c>
      <c r="C45" t="s">
        <v>37</v>
      </c>
      <c r="D45" t="s">
        <v>10</v>
      </c>
      <c r="E45" t="s">
        <v>21</v>
      </c>
      <c r="F45" t="s">
        <v>53</v>
      </c>
      <c r="G45" t="s">
        <v>13</v>
      </c>
      <c r="H45">
        <v>12859</v>
      </c>
      <c r="I45">
        <v>8499</v>
      </c>
      <c r="J45">
        <f>H45-I45</f>
        <v>4360</v>
      </c>
      <c r="K45" s="6">
        <f>J45/H45</f>
        <v>0.33906213546932112</v>
      </c>
      <c r="L45" t="str">
        <f t="array" ref="L45">_xlfn.IFS(J45&gt;15000,"Excellent",J45&gt;=5000,"Good",J45&lt;5000,"Poor")</f>
        <v>Poor</v>
      </c>
      <c r="M45">
        <f t="array" ref="M45">_xlfn.XLOOKUP(G45,' Employee_Salary'!$A$1:A49,' Employee_Salary'!$B$1:B49,FALSE)</f>
        <v>47000</v>
      </c>
      <c r="N45" s="9">
        <f>M45/H45</f>
        <v>3.6550276071234156</v>
      </c>
      <c r="O45" s="9">
        <f>IF(D45="Electronics",H45*5%,IF(D45="Furniture",H45*8%,0))</f>
        <v>1028.72</v>
      </c>
      <c r="P45">
        <f>_xlfn.RANK.EQ(H45,$H$2:$H$201,0)</f>
        <v>125</v>
      </c>
      <c r="Q45">
        <f>SUMIFS($H$2:$H$201,$B$2:$B$201,"&lt;="&amp;B45)</f>
        <v>1502635</v>
      </c>
    </row>
    <row r="46" spans="1:17" x14ac:dyDescent="0.35">
      <c r="A46">
        <v>45</v>
      </c>
      <c r="B46" s="1">
        <v>45694</v>
      </c>
      <c r="C46" t="s">
        <v>37</v>
      </c>
      <c r="D46" t="s">
        <v>18</v>
      </c>
      <c r="E46" t="s">
        <v>29</v>
      </c>
      <c r="F46" t="s">
        <v>41</v>
      </c>
      <c r="G46" t="s">
        <v>33</v>
      </c>
      <c r="H46">
        <v>9025</v>
      </c>
      <c r="I46">
        <v>5975</v>
      </c>
      <c r="J46">
        <f>H46-I46</f>
        <v>3050</v>
      </c>
      <c r="K46" s="6">
        <f>J46/H46</f>
        <v>0.33795013850415512</v>
      </c>
      <c r="L46" t="str">
        <f t="array" ref="L46">_xlfn.IFS(J46&gt;15000,"Excellent",J46&gt;=5000,"Good",J46&lt;5000,"Poor")</f>
        <v>Poor</v>
      </c>
      <c r="M46">
        <f t="array" ref="M46">_xlfn.XLOOKUP(G46,' Employee_Salary'!$A$1:A50,' Employee_Salary'!$B$1:B50,FALSE)</f>
        <v>42000</v>
      </c>
      <c r="N46" s="9">
        <f>M46/H46</f>
        <v>4.6537396121883656</v>
      </c>
      <c r="O46" s="9">
        <f>IF(D46="Electronics",H46*5%,IF(D46="Furniture",H46*8%,0))</f>
        <v>451.25</v>
      </c>
      <c r="P46">
        <f>_xlfn.RANK.EQ(H46,$H$2:$H$201,0)</f>
        <v>157</v>
      </c>
      <c r="Q46">
        <f>SUMIFS($H$2:$H$201,$B$2:$B$201,"&lt;="&amp;B46)</f>
        <v>1993799</v>
      </c>
    </row>
    <row r="47" spans="1:17" x14ac:dyDescent="0.35">
      <c r="A47">
        <v>46</v>
      </c>
      <c r="B47" s="1">
        <v>45704</v>
      </c>
      <c r="C47" t="s">
        <v>14</v>
      </c>
      <c r="D47" t="s">
        <v>10</v>
      </c>
      <c r="E47" t="s">
        <v>42</v>
      </c>
      <c r="F47" t="s">
        <v>52</v>
      </c>
      <c r="G47" t="s">
        <v>35</v>
      </c>
      <c r="H47">
        <v>27125</v>
      </c>
      <c r="I47">
        <v>24151</v>
      </c>
      <c r="J47">
        <f>H47-I47</f>
        <v>2974</v>
      </c>
      <c r="K47" s="6">
        <f>J47/H47</f>
        <v>0.1096405529953917</v>
      </c>
      <c r="L47" t="str">
        <f t="array" ref="L47">_xlfn.IFS(J47&gt;15000,"Excellent",J47&gt;=5000,"Good",J47&lt;5000,"Poor")</f>
        <v>Poor</v>
      </c>
      <c r="M47">
        <f t="array" ref="M47">_xlfn.XLOOKUP(G47,' Employee_Salary'!$A$1:A51,' Employee_Salary'!$B$1:B51,FALSE)</f>
        <v>40000</v>
      </c>
      <c r="N47" s="9">
        <f>M47/H47</f>
        <v>1.4746543778801844</v>
      </c>
      <c r="O47" s="9">
        <f>IF(D47="Electronics",H47*5%,IF(D47="Furniture",H47*8%,0))</f>
        <v>2170</v>
      </c>
      <c r="P47">
        <f>_xlfn.RANK.EQ(H47,$H$2:$H$201,0)</f>
        <v>21</v>
      </c>
      <c r="Q47">
        <f>SUMIFS($H$2:$H$201,$B$2:$B$201,"&lt;="&amp;B47)</f>
        <v>2568758</v>
      </c>
    </row>
    <row r="48" spans="1:17" x14ac:dyDescent="0.35">
      <c r="A48">
        <v>47</v>
      </c>
      <c r="B48" s="1">
        <v>45663</v>
      </c>
      <c r="C48" t="s">
        <v>37</v>
      </c>
      <c r="D48" t="s">
        <v>18</v>
      </c>
      <c r="E48" t="s">
        <v>32</v>
      </c>
      <c r="F48" t="s">
        <v>53</v>
      </c>
      <c r="G48" t="s">
        <v>28</v>
      </c>
      <c r="H48">
        <v>4910</v>
      </c>
      <c r="I48">
        <v>3805</v>
      </c>
      <c r="J48">
        <f>H48-I48</f>
        <v>1105</v>
      </c>
      <c r="K48" s="6">
        <f>J48/H48</f>
        <v>0.225050916496945</v>
      </c>
      <c r="L48" t="str">
        <f t="array" ref="L48">_xlfn.IFS(J48&gt;15000,"Excellent",J48&gt;=5000,"Good",J48&lt;5000,"Poor")</f>
        <v>Poor</v>
      </c>
      <c r="M48">
        <f t="array" ref="M48">_xlfn.XLOOKUP(G48,' Employee_Salary'!$A$1:A52,' Employee_Salary'!$B$1:B52,FALSE)</f>
        <v>45000</v>
      </c>
      <c r="N48" s="9">
        <f>M48/H48</f>
        <v>9.1649694501018324</v>
      </c>
      <c r="O48" s="9">
        <f>IF(D48="Electronics",H48*5%,IF(D48="Furniture",H48*8%,0))</f>
        <v>245.5</v>
      </c>
      <c r="P48">
        <f>_xlfn.RANK.EQ(H48,$H$2:$H$201,0)</f>
        <v>187</v>
      </c>
      <c r="Q48">
        <f>SUMIFS($H$2:$H$201,$B$2:$B$201,"&lt;="&amp;B48)</f>
        <v>314278</v>
      </c>
    </row>
    <row r="49" spans="1:17" x14ac:dyDescent="0.35">
      <c r="A49">
        <v>48</v>
      </c>
      <c r="B49" s="1">
        <v>45687</v>
      </c>
      <c r="C49" t="s">
        <v>17</v>
      </c>
      <c r="D49" t="s">
        <v>10</v>
      </c>
      <c r="E49" t="s">
        <v>42</v>
      </c>
      <c r="F49" t="s">
        <v>50</v>
      </c>
      <c r="G49" t="s">
        <v>33</v>
      </c>
      <c r="H49">
        <v>13768</v>
      </c>
      <c r="I49">
        <v>10313</v>
      </c>
      <c r="J49">
        <f>H49-I49</f>
        <v>3455</v>
      </c>
      <c r="K49" s="6">
        <f>J49/H49</f>
        <v>0.25094421847762927</v>
      </c>
      <c r="L49" t="str">
        <f t="array" ref="L49">_xlfn.IFS(J49&gt;15000,"Excellent",J49&gt;=5000,"Good",J49&lt;5000,"Poor")</f>
        <v>Poor</v>
      </c>
      <c r="M49">
        <f t="array" ref="M49">_xlfn.XLOOKUP(G49,' Employee_Salary'!$A$1:A53,' Employee_Salary'!$B$1:B53,FALSE)</f>
        <v>42000</v>
      </c>
      <c r="N49" s="9">
        <f>M49/H49</f>
        <v>3.05055200464846</v>
      </c>
      <c r="O49" s="9">
        <f>IF(D49="Electronics",H49*5%,IF(D49="Furniture",H49*8%,0))</f>
        <v>1101.44</v>
      </c>
      <c r="P49">
        <f>_xlfn.RANK.EQ(H49,$H$2:$H$201,0)</f>
        <v>116</v>
      </c>
      <c r="Q49">
        <f>SUMIFS($H$2:$H$201,$B$2:$B$201,"&lt;="&amp;B49)</f>
        <v>1735136</v>
      </c>
    </row>
    <row r="50" spans="1:17" x14ac:dyDescent="0.35">
      <c r="A50">
        <v>49</v>
      </c>
      <c r="B50" s="1">
        <v>45681</v>
      </c>
      <c r="C50" t="s">
        <v>17</v>
      </c>
      <c r="D50" t="s">
        <v>10</v>
      </c>
      <c r="E50" t="s">
        <v>15</v>
      </c>
      <c r="F50" t="s">
        <v>44</v>
      </c>
      <c r="G50" t="s">
        <v>35</v>
      </c>
      <c r="H50">
        <v>28518</v>
      </c>
      <c r="I50">
        <v>25660</v>
      </c>
      <c r="J50">
        <f>H50-I50</f>
        <v>2858</v>
      </c>
      <c r="K50" s="6">
        <f>J50/H50</f>
        <v>0.10021740655024897</v>
      </c>
      <c r="L50" t="str">
        <f t="array" ref="L50">_xlfn.IFS(J50&gt;15000,"Excellent",J50&gt;=5000,"Good",J50&lt;5000,"Poor")</f>
        <v>Poor</v>
      </c>
      <c r="M50">
        <f t="array" ref="M50">_xlfn.XLOOKUP(G50,' Employee_Salary'!$A$1:A54,' Employee_Salary'!$B$1:B54,FALSE)</f>
        <v>40000</v>
      </c>
      <c r="N50" s="9">
        <f>M50/H50</f>
        <v>1.402622904832036</v>
      </c>
      <c r="O50" s="9">
        <f>IF(D50="Electronics",H50*5%,IF(D50="Furniture",H50*8%,0))</f>
        <v>2281.44</v>
      </c>
      <c r="P50">
        <f>_xlfn.RANK.EQ(H50,$H$2:$H$201,0)</f>
        <v>8</v>
      </c>
      <c r="Q50">
        <f>SUMIFS($H$2:$H$201,$B$2:$B$201,"&lt;="&amp;B50)</f>
        <v>1463299</v>
      </c>
    </row>
    <row r="51" spans="1:17" x14ac:dyDescent="0.35">
      <c r="A51">
        <v>50</v>
      </c>
      <c r="B51" s="1">
        <v>45706</v>
      </c>
      <c r="C51" t="s">
        <v>37</v>
      </c>
      <c r="D51" t="s">
        <v>10</v>
      </c>
      <c r="E51" t="s">
        <v>11</v>
      </c>
      <c r="F51" t="s">
        <v>54</v>
      </c>
      <c r="G51" t="s">
        <v>28</v>
      </c>
      <c r="H51">
        <v>24630</v>
      </c>
      <c r="I51">
        <v>16859</v>
      </c>
      <c r="J51">
        <f>H51-I51</f>
        <v>7771</v>
      </c>
      <c r="K51" s="6">
        <f>J51/H51</f>
        <v>0.3155095412099066</v>
      </c>
      <c r="L51" t="str">
        <f t="array" ref="L51">_xlfn.IFS(J51&gt;15000,"Excellent",J51&gt;=5000,"Good",J51&lt;5000,"Poor")</f>
        <v>Good</v>
      </c>
      <c r="M51">
        <f t="array" ref="M51">_xlfn.XLOOKUP(G51,' Employee_Salary'!$A$1:A55,' Employee_Salary'!$B$1:B55,FALSE)</f>
        <v>45000</v>
      </c>
      <c r="N51" s="9">
        <f>M51/H51</f>
        <v>1.8270401948842874</v>
      </c>
      <c r="O51" s="9">
        <f>IF(D51="Electronics",H51*5%,IF(D51="Furniture",H51*8%,0))</f>
        <v>1970.4</v>
      </c>
      <c r="P51">
        <f>_xlfn.RANK.EQ(H51,$H$2:$H$201,0)</f>
        <v>32</v>
      </c>
      <c r="Q51">
        <f>SUMIFS($H$2:$H$201,$B$2:$B$201,"&lt;="&amp;B51)</f>
        <v>2761759</v>
      </c>
    </row>
    <row r="52" spans="1:17" x14ac:dyDescent="0.35">
      <c r="A52">
        <v>51</v>
      </c>
      <c r="B52" s="1">
        <v>45686</v>
      </c>
      <c r="C52" t="s">
        <v>17</v>
      </c>
      <c r="D52" t="s">
        <v>18</v>
      </c>
      <c r="E52" t="s">
        <v>19</v>
      </c>
      <c r="F52" t="s">
        <v>24</v>
      </c>
      <c r="G52" t="s">
        <v>33</v>
      </c>
      <c r="H52">
        <v>5943</v>
      </c>
      <c r="I52">
        <v>4384</v>
      </c>
      <c r="J52">
        <f>H52-I52</f>
        <v>1559</v>
      </c>
      <c r="K52" s="6">
        <f>J52/H52</f>
        <v>0.26232542486959448</v>
      </c>
      <c r="L52" t="str">
        <f t="array" ref="L52">_xlfn.IFS(J52&gt;15000,"Excellent",J52&gt;=5000,"Good",J52&lt;5000,"Poor")</f>
        <v>Poor</v>
      </c>
      <c r="M52">
        <f t="array" ref="M52">_xlfn.XLOOKUP(G52,' Employee_Salary'!$A$1:A56,' Employee_Salary'!$B$1:B56,FALSE)</f>
        <v>42000</v>
      </c>
      <c r="N52" s="9">
        <f>M52/H52</f>
        <v>7.0671378091872787</v>
      </c>
      <c r="O52" s="9">
        <f>IF(D52="Electronics",H52*5%,IF(D52="Furniture",H52*8%,0))</f>
        <v>297.15000000000003</v>
      </c>
      <c r="P52">
        <f>_xlfn.RANK.EQ(H52,$H$2:$H$201,0)</f>
        <v>177</v>
      </c>
      <c r="Q52">
        <f>SUMIFS($H$2:$H$201,$B$2:$B$201,"&lt;="&amp;B52)</f>
        <v>1678740</v>
      </c>
    </row>
    <row r="53" spans="1:17" x14ac:dyDescent="0.35">
      <c r="A53">
        <v>52</v>
      </c>
      <c r="B53" s="1">
        <v>45700</v>
      </c>
      <c r="C53" t="s">
        <v>9</v>
      </c>
      <c r="D53" t="s">
        <v>10</v>
      </c>
      <c r="E53" t="s">
        <v>42</v>
      </c>
      <c r="F53" t="s">
        <v>52</v>
      </c>
      <c r="G53" t="s">
        <v>13</v>
      </c>
      <c r="H53">
        <v>12216</v>
      </c>
      <c r="I53">
        <v>8895</v>
      </c>
      <c r="J53">
        <f>H53-I53</f>
        <v>3321</v>
      </c>
      <c r="K53" s="6">
        <f>J53/H53</f>
        <v>0.27185658153241649</v>
      </c>
      <c r="L53" t="str">
        <f t="array" ref="L53">_xlfn.IFS(J53&gt;15000,"Excellent",J53&gt;=5000,"Good",J53&lt;5000,"Poor")</f>
        <v>Poor</v>
      </c>
      <c r="M53">
        <f t="array" ref="M53">_xlfn.XLOOKUP(G53,' Employee_Salary'!$A$1:A57,' Employee_Salary'!$B$1:B57,FALSE)</f>
        <v>47000</v>
      </c>
      <c r="N53" s="9">
        <f>M53/H53</f>
        <v>3.8474132285527176</v>
      </c>
      <c r="O53" s="9">
        <f>IF(D53="Electronics",H53*5%,IF(D53="Furniture",H53*8%,0))</f>
        <v>977.28</v>
      </c>
      <c r="P53">
        <f>_xlfn.RANK.EQ(H53,$H$2:$H$201,0)</f>
        <v>140</v>
      </c>
      <c r="Q53">
        <f>SUMIFS($H$2:$H$201,$B$2:$B$201,"&lt;="&amp;B53)</f>
        <v>2334388</v>
      </c>
    </row>
    <row r="54" spans="1:17" x14ac:dyDescent="0.35">
      <c r="A54">
        <v>53</v>
      </c>
      <c r="B54" s="1">
        <v>45669</v>
      </c>
      <c r="C54" t="s">
        <v>14</v>
      </c>
      <c r="D54" t="s">
        <v>10</v>
      </c>
      <c r="E54" t="s">
        <v>42</v>
      </c>
      <c r="F54" t="s">
        <v>30</v>
      </c>
      <c r="G54" t="s">
        <v>28</v>
      </c>
      <c r="H54">
        <v>22306</v>
      </c>
      <c r="I54">
        <v>15746</v>
      </c>
      <c r="J54">
        <f>H54-I54</f>
        <v>6560</v>
      </c>
      <c r="K54" s="6">
        <f>J54/H54</f>
        <v>0.29409127588989509</v>
      </c>
      <c r="L54" t="str">
        <f t="array" ref="L54">_xlfn.IFS(J54&gt;15000,"Excellent",J54&gt;=5000,"Good",J54&lt;5000,"Poor")</f>
        <v>Good</v>
      </c>
      <c r="M54">
        <f t="array" ref="M54">_xlfn.XLOOKUP(G54,' Employee_Salary'!$A$1:A58,' Employee_Salary'!$B$1:B58,FALSE)</f>
        <v>45000</v>
      </c>
      <c r="N54" s="9">
        <f>M54/H54</f>
        <v>2.0173944230251952</v>
      </c>
      <c r="O54" s="9">
        <f>IF(D54="Electronics",H54*5%,IF(D54="Furniture",H54*8%,0))</f>
        <v>1784.48</v>
      </c>
      <c r="P54">
        <f>_xlfn.RANK.EQ(H54,$H$2:$H$201,0)</f>
        <v>51</v>
      </c>
      <c r="Q54">
        <f>SUMIFS($H$2:$H$201,$B$2:$B$201,"&lt;="&amp;B54)</f>
        <v>665652</v>
      </c>
    </row>
    <row r="55" spans="1:17" x14ac:dyDescent="0.35">
      <c r="A55">
        <v>54</v>
      </c>
      <c r="B55" s="1">
        <v>45667</v>
      </c>
      <c r="C55" t="s">
        <v>17</v>
      </c>
      <c r="D55" t="s">
        <v>10</v>
      </c>
      <c r="E55" t="s">
        <v>15</v>
      </c>
      <c r="F55" t="s">
        <v>20</v>
      </c>
      <c r="G55" t="s">
        <v>23</v>
      </c>
      <c r="H55">
        <v>17746</v>
      </c>
      <c r="I55">
        <v>11244</v>
      </c>
      <c r="J55">
        <f>H55-I55</f>
        <v>6502</v>
      </c>
      <c r="K55" s="6">
        <f>J55/H55</f>
        <v>0.36639242646230136</v>
      </c>
      <c r="L55" t="str">
        <f t="array" ref="L55">_xlfn.IFS(J55&gt;15000,"Excellent",J55&gt;=5000,"Good",J55&lt;5000,"Poor")</f>
        <v>Good</v>
      </c>
      <c r="M55">
        <f t="array" ref="M55">_xlfn.XLOOKUP(G55,' Employee_Salary'!$A$1:A59,' Employee_Salary'!$B$1:B59,FALSE)</f>
        <v>43000</v>
      </c>
      <c r="N55" s="9">
        <f>M55/H55</f>
        <v>2.4230812577482248</v>
      </c>
      <c r="O55" s="9">
        <f>IF(D55="Electronics",H55*5%,IF(D55="Furniture",H55*8%,0))</f>
        <v>1419.68</v>
      </c>
      <c r="P55">
        <f>_xlfn.RANK.EQ(H55,$H$2:$H$201,0)</f>
        <v>85</v>
      </c>
      <c r="Q55">
        <f>SUMIFS($H$2:$H$201,$B$2:$B$201,"&lt;="&amp;B55)</f>
        <v>497964</v>
      </c>
    </row>
    <row r="56" spans="1:17" x14ac:dyDescent="0.35">
      <c r="A56">
        <v>55</v>
      </c>
      <c r="B56" s="1">
        <v>45717</v>
      </c>
      <c r="C56" t="s">
        <v>9</v>
      </c>
      <c r="D56" t="s">
        <v>18</v>
      </c>
      <c r="E56" t="s">
        <v>32</v>
      </c>
      <c r="F56" t="s">
        <v>38</v>
      </c>
      <c r="G56" t="s">
        <v>28</v>
      </c>
      <c r="H56">
        <v>17314</v>
      </c>
      <c r="I56">
        <v>12062</v>
      </c>
      <c r="J56">
        <f>H56-I56</f>
        <v>5252</v>
      </c>
      <c r="K56" s="6">
        <f>J56/H56</f>
        <v>0.30333833891648376</v>
      </c>
      <c r="L56" t="str">
        <f t="array" ref="L56">_xlfn.IFS(J56&gt;15000,"Excellent",J56&gt;=5000,"Good",J56&lt;5000,"Poor")</f>
        <v>Good</v>
      </c>
      <c r="M56">
        <f t="array" ref="M56">_xlfn.XLOOKUP(G56,' Employee_Salary'!$A$1:A60,' Employee_Salary'!$B$1:B60,FALSE)</f>
        <v>45000</v>
      </c>
      <c r="N56" s="9">
        <f>M56/H56</f>
        <v>2.5990527896499942</v>
      </c>
      <c r="O56" s="9">
        <f>IF(D56="Electronics",H56*5%,IF(D56="Furniture",H56*8%,0))</f>
        <v>865.7</v>
      </c>
      <c r="P56">
        <f>_xlfn.RANK.EQ(H56,$H$2:$H$201,0)</f>
        <v>91</v>
      </c>
      <c r="Q56">
        <f>SUMIFS($H$2:$H$201,$B$2:$B$201,"&lt;="&amp;B56)</f>
        <v>3235200</v>
      </c>
    </row>
    <row r="57" spans="1:17" x14ac:dyDescent="0.35">
      <c r="A57">
        <v>56</v>
      </c>
      <c r="B57" s="1">
        <v>45678</v>
      </c>
      <c r="C57" t="s">
        <v>17</v>
      </c>
      <c r="D57" t="s">
        <v>10</v>
      </c>
      <c r="E57" t="s">
        <v>11</v>
      </c>
      <c r="F57" t="s">
        <v>48</v>
      </c>
      <c r="G57" t="s">
        <v>33</v>
      </c>
      <c r="H57">
        <v>26570</v>
      </c>
      <c r="I57">
        <v>20277</v>
      </c>
      <c r="J57">
        <f>H57-I57</f>
        <v>6293</v>
      </c>
      <c r="K57" s="6">
        <f>J57/H57</f>
        <v>0.23684606699284907</v>
      </c>
      <c r="L57" t="str">
        <f t="array" ref="L57">_xlfn.IFS(J57&gt;15000,"Excellent",J57&gt;=5000,"Good",J57&lt;5000,"Poor")</f>
        <v>Good</v>
      </c>
      <c r="M57">
        <f t="array" ref="M57">_xlfn.XLOOKUP(G57,' Employee_Salary'!$A$1:A61,' Employee_Salary'!$B$1:B61,FALSE)</f>
        <v>42000</v>
      </c>
      <c r="N57" s="9">
        <f>M57/H57</f>
        <v>1.5807301467820851</v>
      </c>
      <c r="O57" s="9">
        <f>IF(D57="Electronics",H57*5%,IF(D57="Furniture",H57*8%,0))</f>
        <v>2125.6</v>
      </c>
      <c r="P57">
        <f>_xlfn.RANK.EQ(H57,$H$2:$H$201,0)</f>
        <v>25</v>
      </c>
      <c r="Q57">
        <f>SUMIFS($H$2:$H$201,$B$2:$B$201,"&lt;="&amp;B57)</f>
        <v>1191668</v>
      </c>
    </row>
    <row r="58" spans="1:17" x14ac:dyDescent="0.35">
      <c r="A58">
        <v>57</v>
      </c>
      <c r="B58" s="1">
        <v>45673</v>
      </c>
      <c r="C58" t="s">
        <v>9</v>
      </c>
      <c r="D58" t="s">
        <v>10</v>
      </c>
      <c r="E58" t="s">
        <v>42</v>
      </c>
      <c r="F58" t="s">
        <v>55</v>
      </c>
      <c r="G58" t="s">
        <v>35</v>
      </c>
      <c r="H58">
        <v>18440</v>
      </c>
      <c r="I58">
        <v>14772</v>
      </c>
      <c r="J58">
        <f>H58-I58</f>
        <v>3668</v>
      </c>
      <c r="K58" s="6">
        <f>J58/H58</f>
        <v>0.19891540130151844</v>
      </c>
      <c r="L58" t="str">
        <f t="array" ref="L58">_xlfn.IFS(J58&gt;15000,"Excellent",J58&gt;=5000,"Good",J58&lt;5000,"Poor")</f>
        <v>Poor</v>
      </c>
      <c r="M58">
        <f t="array" ref="M58">_xlfn.XLOOKUP(G58,' Employee_Salary'!$A$1:A62,' Employee_Salary'!$B$1:B62,FALSE)</f>
        <v>40000</v>
      </c>
      <c r="N58" s="9">
        <f>M58/H58</f>
        <v>2.1691973969631237</v>
      </c>
      <c r="O58" s="9">
        <f>IF(D58="Electronics",H58*5%,IF(D58="Furniture",H58*8%,0))</f>
        <v>1475.2</v>
      </c>
      <c r="P58">
        <f>_xlfn.RANK.EQ(H58,$H$2:$H$201,0)</f>
        <v>79</v>
      </c>
      <c r="Q58">
        <f>SUMIFS($H$2:$H$201,$B$2:$B$201,"&lt;="&amp;B58)</f>
        <v>933361</v>
      </c>
    </row>
    <row r="59" spans="1:17" x14ac:dyDescent="0.35">
      <c r="A59">
        <v>58</v>
      </c>
      <c r="B59" s="1">
        <v>45677</v>
      </c>
      <c r="C59" t="s">
        <v>17</v>
      </c>
      <c r="D59" t="s">
        <v>10</v>
      </c>
      <c r="E59" t="s">
        <v>21</v>
      </c>
      <c r="F59" t="s">
        <v>55</v>
      </c>
      <c r="G59" t="s">
        <v>28</v>
      </c>
      <c r="H59">
        <v>18052</v>
      </c>
      <c r="I59">
        <v>16236</v>
      </c>
      <c r="J59">
        <f>H59-I59</f>
        <v>1816</v>
      </c>
      <c r="K59" s="6">
        <f>J59/H59</f>
        <v>0.10059827165964991</v>
      </c>
      <c r="L59" t="str">
        <f t="array" ref="L59">_xlfn.IFS(J59&gt;15000,"Excellent",J59&gt;=5000,"Good",J59&lt;5000,"Poor")</f>
        <v>Poor</v>
      </c>
      <c r="M59">
        <f t="array" ref="M59">_xlfn.XLOOKUP(G59,' Employee_Salary'!$A$1:A63,' Employee_Salary'!$B$1:B63,FALSE)</f>
        <v>45000</v>
      </c>
      <c r="N59" s="9">
        <f>M59/H59</f>
        <v>2.4927985818745846</v>
      </c>
      <c r="O59" s="9">
        <f>IF(D59="Electronics",H59*5%,IF(D59="Furniture",H59*8%,0))</f>
        <v>1444.16</v>
      </c>
      <c r="P59">
        <f>_xlfn.RANK.EQ(H59,$H$2:$H$201,0)</f>
        <v>81</v>
      </c>
      <c r="Q59">
        <f>SUMIFS($H$2:$H$201,$B$2:$B$201,"&lt;="&amp;B59)</f>
        <v>1137341</v>
      </c>
    </row>
    <row r="60" spans="1:17" x14ac:dyDescent="0.35">
      <c r="A60">
        <v>59</v>
      </c>
      <c r="B60" s="1">
        <v>45660</v>
      </c>
      <c r="C60" t="s">
        <v>14</v>
      </c>
      <c r="D60" t="s">
        <v>18</v>
      </c>
      <c r="E60" t="s">
        <v>29</v>
      </c>
      <c r="F60" t="s">
        <v>22</v>
      </c>
      <c r="G60" t="s">
        <v>28</v>
      </c>
      <c r="H60">
        <v>27796</v>
      </c>
      <c r="I60">
        <v>18235</v>
      </c>
      <c r="J60">
        <f>H60-I60</f>
        <v>9561</v>
      </c>
      <c r="K60" s="6">
        <f>J60/H60</f>
        <v>0.34397035544682686</v>
      </c>
      <c r="L60" t="str">
        <f t="array" ref="L60">_xlfn.IFS(J60&gt;15000,"Excellent",J60&gt;=5000,"Good",J60&lt;5000,"Poor")</f>
        <v>Good</v>
      </c>
      <c r="M60">
        <f t="array" ref="M60">_xlfn.XLOOKUP(G60,' Employee_Salary'!$A$1:A64,' Employee_Salary'!$B$1:B64,FALSE)</f>
        <v>45000</v>
      </c>
      <c r="N60" s="9">
        <f>M60/H60</f>
        <v>1.6189379766872931</v>
      </c>
      <c r="O60" s="9">
        <f>IF(D60="Electronics",H60*5%,IF(D60="Furniture",H60*8%,0))</f>
        <v>1389.8000000000002</v>
      </c>
      <c r="P60">
        <f>_xlfn.RANK.EQ(H60,$H$2:$H$201,0)</f>
        <v>15</v>
      </c>
      <c r="Q60">
        <f>SUMIFS($H$2:$H$201,$B$2:$B$201,"&lt;="&amp;B60)</f>
        <v>118866</v>
      </c>
    </row>
    <row r="61" spans="1:17" x14ac:dyDescent="0.35">
      <c r="A61">
        <v>60</v>
      </c>
      <c r="B61" s="1">
        <v>45683</v>
      </c>
      <c r="C61" t="s">
        <v>9</v>
      </c>
      <c r="D61" t="s">
        <v>10</v>
      </c>
      <c r="E61" t="s">
        <v>15</v>
      </c>
      <c r="F61" t="s">
        <v>56</v>
      </c>
      <c r="G61" t="s">
        <v>23</v>
      </c>
      <c r="H61">
        <v>21524</v>
      </c>
      <c r="I61">
        <v>14147</v>
      </c>
      <c r="J61">
        <f>H61-I61</f>
        <v>7377</v>
      </c>
      <c r="K61" s="6">
        <f>J61/H61</f>
        <v>0.34273369262218917</v>
      </c>
      <c r="L61" t="str">
        <f t="array" ref="L61">_xlfn.IFS(J61&gt;15000,"Excellent",J61&gt;=5000,"Good",J61&lt;5000,"Poor")</f>
        <v>Good</v>
      </c>
      <c r="M61">
        <f t="array" ref="M61">_xlfn.XLOOKUP(G61,' Employee_Salary'!$A$1:A65,' Employee_Salary'!$B$1:B65,FALSE)</f>
        <v>43000</v>
      </c>
      <c r="N61" s="9">
        <f>M61/H61</f>
        <v>1.9977699312395465</v>
      </c>
      <c r="O61" s="9">
        <f>IF(D61="Electronics",H61*5%,IF(D61="Furniture",H61*8%,0))</f>
        <v>1721.92</v>
      </c>
      <c r="P61">
        <f>_xlfn.RANK.EQ(H61,$H$2:$H$201,0)</f>
        <v>57</v>
      </c>
      <c r="Q61">
        <f>SUMIFS($H$2:$H$201,$B$2:$B$201,"&lt;="&amp;B61)</f>
        <v>1589196</v>
      </c>
    </row>
    <row r="62" spans="1:17" x14ac:dyDescent="0.35">
      <c r="A62">
        <v>61</v>
      </c>
      <c r="B62" s="1">
        <v>45689</v>
      </c>
      <c r="C62" t="s">
        <v>9</v>
      </c>
      <c r="D62" t="s">
        <v>18</v>
      </c>
      <c r="E62" t="s">
        <v>19</v>
      </c>
      <c r="F62" t="s">
        <v>57</v>
      </c>
      <c r="G62" t="s">
        <v>13</v>
      </c>
      <c r="H62">
        <v>17658</v>
      </c>
      <c r="I62">
        <v>11884</v>
      </c>
      <c r="J62">
        <f>H62-I62</f>
        <v>5774</v>
      </c>
      <c r="K62" s="6">
        <f>J62/H62</f>
        <v>0.32699059916185297</v>
      </c>
      <c r="L62" t="str">
        <f t="array" ref="L62">_xlfn.IFS(J62&gt;15000,"Excellent",J62&gt;=5000,"Good",J62&lt;5000,"Poor")</f>
        <v>Good</v>
      </c>
      <c r="M62">
        <f t="array" ref="M62">_xlfn.XLOOKUP(G62,' Employee_Salary'!$A$1:A66,' Employee_Salary'!$B$1:B66,FALSE)</f>
        <v>47000</v>
      </c>
      <c r="N62" s="9">
        <f>M62/H62</f>
        <v>2.6616830898176462</v>
      </c>
      <c r="O62" s="9">
        <f>IF(D62="Electronics",H62*5%,IF(D62="Furniture",H62*8%,0))</f>
        <v>882.90000000000009</v>
      </c>
      <c r="P62">
        <f>_xlfn.RANK.EQ(H62,$H$2:$H$201,0)</f>
        <v>87</v>
      </c>
      <c r="Q62">
        <f>SUMIFS($H$2:$H$201,$B$2:$B$201,"&lt;="&amp;B62)</f>
        <v>1845453</v>
      </c>
    </row>
    <row r="63" spans="1:17" x14ac:dyDescent="0.35">
      <c r="A63">
        <v>62</v>
      </c>
      <c r="B63" s="1">
        <v>45659</v>
      </c>
      <c r="C63" t="s">
        <v>17</v>
      </c>
      <c r="D63" t="s">
        <v>18</v>
      </c>
      <c r="E63" t="s">
        <v>32</v>
      </c>
      <c r="F63" t="s">
        <v>58</v>
      </c>
      <c r="G63" t="s">
        <v>33</v>
      </c>
      <c r="H63">
        <v>16751</v>
      </c>
      <c r="I63">
        <v>12144</v>
      </c>
      <c r="J63">
        <f>H63-I63</f>
        <v>4607</v>
      </c>
      <c r="K63" s="6">
        <f>J63/H63</f>
        <v>0.27502835651602892</v>
      </c>
      <c r="L63" t="str">
        <f t="array" ref="L63">_xlfn.IFS(J63&gt;15000,"Excellent",J63&gt;=5000,"Good",J63&lt;5000,"Poor")</f>
        <v>Poor</v>
      </c>
      <c r="M63">
        <f t="array" ref="M63">_xlfn.XLOOKUP(G63,' Employee_Salary'!$A$1:A67,' Employee_Salary'!$B$1:B67,FALSE)</f>
        <v>42000</v>
      </c>
      <c r="N63" s="9">
        <f>M63/H63</f>
        <v>2.5073129962390306</v>
      </c>
      <c r="O63" s="9">
        <f>IF(D63="Electronics",H63*5%,IF(D63="Furniture",H63*8%,0))</f>
        <v>837.55000000000007</v>
      </c>
      <c r="P63">
        <f>_xlfn.RANK.EQ(H63,$H$2:$H$201,0)</f>
        <v>98</v>
      </c>
      <c r="Q63">
        <f>SUMIFS($H$2:$H$201,$B$2:$B$201,"&lt;="&amp;B63)</f>
        <v>85259</v>
      </c>
    </row>
    <row r="64" spans="1:17" x14ac:dyDescent="0.35">
      <c r="A64">
        <v>63</v>
      </c>
      <c r="B64" s="1">
        <v>45663</v>
      </c>
      <c r="C64" t="s">
        <v>17</v>
      </c>
      <c r="D64" t="s">
        <v>18</v>
      </c>
      <c r="E64" t="s">
        <v>32</v>
      </c>
      <c r="F64" t="s">
        <v>25</v>
      </c>
      <c r="G64" t="s">
        <v>13</v>
      </c>
      <c r="H64">
        <v>5069</v>
      </c>
      <c r="I64">
        <v>3665</v>
      </c>
      <c r="J64">
        <f>H64-I64</f>
        <v>1404</v>
      </c>
      <c r="K64" s="6">
        <f>J64/H64</f>
        <v>0.27697770763464197</v>
      </c>
      <c r="L64" t="str">
        <f t="array" ref="L64">_xlfn.IFS(J64&gt;15000,"Excellent",J64&gt;=5000,"Good",J64&lt;5000,"Poor")</f>
        <v>Poor</v>
      </c>
      <c r="M64">
        <f t="array" ref="M64">_xlfn.XLOOKUP(G64,' Employee_Salary'!$A$1:A68,' Employee_Salary'!$B$1:B68,FALSE)</f>
        <v>47000</v>
      </c>
      <c r="N64" s="9">
        <f>M64/H64</f>
        <v>9.2720457683961328</v>
      </c>
      <c r="O64" s="9">
        <f>IF(D64="Electronics",H64*5%,IF(D64="Furniture",H64*8%,0))</f>
        <v>253.45000000000002</v>
      </c>
      <c r="P64">
        <f>_xlfn.RANK.EQ(H64,$H$2:$H$201,0)</f>
        <v>184</v>
      </c>
      <c r="Q64">
        <f>SUMIFS($H$2:$H$201,$B$2:$B$201,"&lt;="&amp;B64)</f>
        <v>314278</v>
      </c>
    </row>
    <row r="65" spans="1:17" x14ac:dyDescent="0.35">
      <c r="A65">
        <v>64</v>
      </c>
      <c r="B65" s="1">
        <v>45704</v>
      </c>
      <c r="C65" t="s">
        <v>37</v>
      </c>
      <c r="D65" t="s">
        <v>10</v>
      </c>
      <c r="E65" t="s">
        <v>15</v>
      </c>
      <c r="F65" t="s">
        <v>59</v>
      </c>
      <c r="G65" t="s">
        <v>35</v>
      </c>
      <c r="H65">
        <v>29735</v>
      </c>
      <c r="I65">
        <v>24687</v>
      </c>
      <c r="J65">
        <f>H65-I65</f>
        <v>5048</v>
      </c>
      <c r="K65" s="6">
        <f>J65/H65</f>
        <v>0.16976626870691106</v>
      </c>
      <c r="L65" t="str">
        <f t="array" ref="L65">_xlfn.IFS(J65&gt;15000,"Excellent",J65&gt;=5000,"Good",J65&lt;5000,"Poor")</f>
        <v>Good</v>
      </c>
      <c r="M65">
        <f t="array" ref="M65">_xlfn.XLOOKUP(G65,' Employee_Salary'!$A$1:A69,' Employee_Salary'!$B$1:B69,FALSE)</f>
        <v>40000</v>
      </c>
      <c r="N65" s="9">
        <f>M65/H65</f>
        <v>1.3452160753321003</v>
      </c>
      <c r="O65" s="9">
        <f>IF(D65="Electronics",H65*5%,IF(D65="Furniture",H65*8%,0))</f>
        <v>2378.8000000000002</v>
      </c>
      <c r="P65">
        <f>_xlfn.RANK.EQ(H65,$H$2:$H$201,0)</f>
        <v>2</v>
      </c>
      <c r="Q65">
        <f>SUMIFS($H$2:$H$201,$B$2:$B$201,"&lt;="&amp;B65)</f>
        <v>2568758</v>
      </c>
    </row>
    <row r="66" spans="1:17" x14ac:dyDescent="0.35">
      <c r="A66">
        <v>65</v>
      </c>
      <c r="B66" s="1">
        <v>45670</v>
      </c>
      <c r="C66" t="s">
        <v>17</v>
      </c>
      <c r="D66" t="s">
        <v>10</v>
      </c>
      <c r="E66" t="s">
        <v>21</v>
      </c>
      <c r="F66" t="s">
        <v>60</v>
      </c>
      <c r="G66" t="s">
        <v>35</v>
      </c>
      <c r="H66">
        <v>15491</v>
      </c>
      <c r="I66">
        <v>9853</v>
      </c>
      <c r="J66">
        <f>H66-I66</f>
        <v>5638</v>
      </c>
      <c r="K66" s="6">
        <f>J66/H66</f>
        <v>0.3639532631850752</v>
      </c>
      <c r="L66" t="str">
        <f t="array" ref="L66">_xlfn.IFS(J66&gt;15000,"Excellent",J66&gt;=5000,"Good",J66&lt;5000,"Poor")</f>
        <v>Good</v>
      </c>
      <c r="M66">
        <f t="array" ref="M66">_xlfn.XLOOKUP(G66,' Employee_Salary'!$A$1:A70,' Employee_Salary'!$B$1:B70,FALSE)</f>
        <v>40000</v>
      </c>
      <c r="N66" s="9">
        <f>M66/H66</f>
        <v>2.5821444709831516</v>
      </c>
      <c r="O66" s="9">
        <f>IF(D66="Electronics",H66*5%,IF(D66="Furniture",H66*8%,0))</f>
        <v>1239.28</v>
      </c>
      <c r="P66">
        <f>_xlfn.RANK.EQ(H66,$H$2:$H$201,0)</f>
        <v>108</v>
      </c>
      <c r="Q66">
        <f>SUMIFS($H$2:$H$201,$B$2:$B$201,"&lt;="&amp;B66)</f>
        <v>757644</v>
      </c>
    </row>
    <row r="67" spans="1:17" x14ac:dyDescent="0.35">
      <c r="A67">
        <v>66</v>
      </c>
      <c r="B67" s="1">
        <v>45713</v>
      </c>
      <c r="C67" t="s">
        <v>17</v>
      </c>
      <c r="D67" t="s">
        <v>10</v>
      </c>
      <c r="E67" t="s">
        <v>15</v>
      </c>
      <c r="F67" t="s">
        <v>61</v>
      </c>
      <c r="G67" t="s">
        <v>33</v>
      </c>
      <c r="H67">
        <v>28106</v>
      </c>
      <c r="I67">
        <v>25013</v>
      </c>
      <c r="J67">
        <f>H67-I67</f>
        <v>3093</v>
      </c>
      <c r="K67" s="6">
        <f>J67/H67</f>
        <v>0.11004767665267202</v>
      </c>
      <c r="L67" t="str">
        <f t="array" ref="L67">_xlfn.IFS(J67&gt;15000,"Excellent",J67&gt;=5000,"Good",J67&lt;5000,"Poor")</f>
        <v>Poor</v>
      </c>
      <c r="M67">
        <f t="array" ref="M67">_xlfn.XLOOKUP(G67,' Employee_Salary'!$A$1:A71,' Employee_Salary'!$B$1:B71,FALSE)</f>
        <v>42000</v>
      </c>
      <c r="N67" s="9">
        <f>M67/H67</f>
        <v>1.49434284494414</v>
      </c>
      <c r="O67" s="9">
        <f>IF(D67="Electronics",H67*5%,IF(D67="Furniture",H67*8%,0))</f>
        <v>2248.48</v>
      </c>
      <c r="P67">
        <f>_xlfn.RANK.EQ(H67,$H$2:$H$201,0)</f>
        <v>11</v>
      </c>
      <c r="Q67">
        <f>SUMIFS($H$2:$H$201,$B$2:$B$201,"&lt;="&amp;B67)</f>
        <v>3053221</v>
      </c>
    </row>
    <row r="68" spans="1:17" x14ac:dyDescent="0.35">
      <c r="A68">
        <v>67</v>
      </c>
      <c r="B68" s="1">
        <v>45688</v>
      </c>
      <c r="C68" t="s">
        <v>14</v>
      </c>
      <c r="D68" t="s">
        <v>18</v>
      </c>
      <c r="E68" t="s">
        <v>29</v>
      </c>
      <c r="F68" t="s">
        <v>55</v>
      </c>
      <c r="G68" t="s">
        <v>35</v>
      </c>
      <c r="H68">
        <v>23089</v>
      </c>
      <c r="I68">
        <v>19254</v>
      </c>
      <c r="J68">
        <f>H68-I68</f>
        <v>3835</v>
      </c>
      <c r="K68" s="6">
        <f>J68/H68</f>
        <v>0.16609640954567109</v>
      </c>
      <c r="L68" t="str">
        <f t="array" ref="L68">_xlfn.IFS(J68&gt;15000,"Excellent",J68&gt;=5000,"Good",J68&lt;5000,"Poor")</f>
        <v>Poor</v>
      </c>
      <c r="M68">
        <f t="array" ref="M68">_xlfn.XLOOKUP(G68,' Employee_Salary'!$A$1:A72,' Employee_Salary'!$B$1:B72,FALSE)</f>
        <v>40000</v>
      </c>
      <c r="N68" s="9">
        <f>M68/H68</f>
        <v>1.7324266966953961</v>
      </c>
      <c r="O68" s="9">
        <f>IF(D68="Electronics",H68*5%,IF(D68="Furniture",H68*8%,0))</f>
        <v>1154.45</v>
      </c>
      <c r="P68">
        <f>_xlfn.RANK.EQ(H68,$H$2:$H$201,0)</f>
        <v>43</v>
      </c>
      <c r="Q68">
        <f>SUMIFS($H$2:$H$201,$B$2:$B$201,"&lt;="&amp;B68)</f>
        <v>1789203</v>
      </c>
    </row>
    <row r="69" spans="1:17" x14ac:dyDescent="0.35">
      <c r="A69">
        <v>68</v>
      </c>
      <c r="B69" s="1">
        <v>45678</v>
      </c>
      <c r="C69" t="s">
        <v>14</v>
      </c>
      <c r="D69" t="s">
        <v>18</v>
      </c>
      <c r="E69" t="s">
        <v>32</v>
      </c>
      <c r="F69" t="s">
        <v>24</v>
      </c>
      <c r="G69" t="s">
        <v>23</v>
      </c>
      <c r="H69">
        <v>20026</v>
      </c>
      <c r="I69">
        <v>17984</v>
      </c>
      <c r="J69">
        <f>H69-I69</f>
        <v>2042</v>
      </c>
      <c r="K69" s="6">
        <f>J69/H69</f>
        <v>0.10196744232497752</v>
      </c>
      <c r="L69" t="str">
        <f t="array" ref="L69">_xlfn.IFS(J69&gt;15000,"Excellent",J69&gt;=5000,"Good",J69&lt;5000,"Poor")</f>
        <v>Poor</v>
      </c>
      <c r="M69">
        <f t="array" ref="M69">_xlfn.XLOOKUP(G69,' Employee_Salary'!$A$1:A73,' Employee_Salary'!$B$1:B73,FALSE)</f>
        <v>43000</v>
      </c>
      <c r="N69" s="9">
        <f>M69/H69</f>
        <v>2.1472086287825825</v>
      </c>
      <c r="O69" s="9">
        <f>IF(D69="Electronics",H69*5%,IF(D69="Furniture",H69*8%,0))</f>
        <v>1001.3000000000001</v>
      </c>
      <c r="P69">
        <f>_xlfn.RANK.EQ(H69,$H$2:$H$201,0)</f>
        <v>65</v>
      </c>
      <c r="Q69">
        <f>SUMIFS($H$2:$H$201,$B$2:$B$201,"&lt;="&amp;B69)</f>
        <v>1191668</v>
      </c>
    </row>
    <row r="70" spans="1:17" x14ac:dyDescent="0.35">
      <c r="A70">
        <v>69</v>
      </c>
      <c r="B70" s="1">
        <v>45678</v>
      </c>
      <c r="C70" t="s">
        <v>9</v>
      </c>
      <c r="D70" t="s">
        <v>18</v>
      </c>
      <c r="E70" t="s">
        <v>26</v>
      </c>
      <c r="F70" t="s">
        <v>36</v>
      </c>
      <c r="G70" t="s">
        <v>13</v>
      </c>
      <c r="H70">
        <v>3988</v>
      </c>
      <c r="I70">
        <v>2714</v>
      </c>
      <c r="J70">
        <f>H70-I70</f>
        <v>1274</v>
      </c>
      <c r="K70" s="6">
        <f>J70/H70</f>
        <v>0.31945837512537612</v>
      </c>
      <c r="L70" t="str">
        <f t="array" ref="L70">_xlfn.IFS(J70&gt;15000,"Excellent",J70&gt;=5000,"Good",J70&lt;5000,"Poor")</f>
        <v>Poor</v>
      </c>
      <c r="M70">
        <f t="array" ref="M70">_xlfn.XLOOKUP(G70,' Employee_Salary'!$A$1:A74,' Employee_Salary'!$B$1:B74,FALSE)</f>
        <v>47000</v>
      </c>
      <c r="N70" s="9">
        <f>M70/H70</f>
        <v>11.785356068204614</v>
      </c>
      <c r="O70" s="9">
        <f>IF(D70="Electronics",H70*5%,IF(D70="Furniture",H70*8%,0))</f>
        <v>199.4</v>
      </c>
      <c r="P70">
        <f>_xlfn.RANK.EQ(H70,$H$2:$H$201,0)</f>
        <v>194</v>
      </c>
      <c r="Q70">
        <f>SUMIFS($H$2:$H$201,$B$2:$B$201,"&lt;="&amp;B70)</f>
        <v>1191668</v>
      </c>
    </row>
    <row r="71" spans="1:17" x14ac:dyDescent="0.35">
      <c r="A71">
        <v>70</v>
      </c>
      <c r="B71" s="1">
        <v>45668</v>
      </c>
      <c r="C71" t="s">
        <v>17</v>
      </c>
      <c r="D71" t="s">
        <v>10</v>
      </c>
      <c r="E71" t="s">
        <v>42</v>
      </c>
      <c r="F71" t="s">
        <v>22</v>
      </c>
      <c r="G71" t="s">
        <v>23</v>
      </c>
      <c r="H71">
        <v>9205</v>
      </c>
      <c r="I71">
        <v>8026</v>
      </c>
      <c r="J71">
        <f>H71-I71</f>
        <v>1179</v>
      </c>
      <c r="K71" s="6">
        <f>J71/H71</f>
        <v>0.12808256382400868</v>
      </c>
      <c r="L71" t="str">
        <f t="array" ref="L71">_xlfn.IFS(J71&gt;15000,"Excellent",J71&gt;=5000,"Good",J71&lt;5000,"Poor")</f>
        <v>Poor</v>
      </c>
      <c r="M71">
        <f t="array" ref="M71">_xlfn.XLOOKUP(G71,' Employee_Salary'!$A$1:A75,' Employee_Salary'!$B$1:B75,FALSE)</f>
        <v>43000</v>
      </c>
      <c r="N71" s="9">
        <f>M71/H71</f>
        <v>4.6713742531233029</v>
      </c>
      <c r="O71" s="9">
        <f>IF(D71="Electronics",H71*5%,IF(D71="Furniture",H71*8%,0))</f>
        <v>736.4</v>
      </c>
      <c r="P71">
        <f>_xlfn.RANK.EQ(H71,$H$2:$H$201,0)</f>
        <v>156</v>
      </c>
      <c r="Q71">
        <f>SUMIFS($H$2:$H$201,$B$2:$B$201,"&lt;="&amp;B71)</f>
        <v>550830</v>
      </c>
    </row>
    <row r="72" spans="1:17" x14ac:dyDescent="0.35">
      <c r="A72">
        <v>71</v>
      </c>
      <c r="B72" s="1">
        <v>45669</v>
      </c>
      <c r="C72" t="s">
        <v>37</v>
      </c>
      <c r="D72" t="s">
        <v>18</v>
      </c>
      <c r="E72" t="s">
        <v>26</v>
      </c>
      <c r="F72" t="s">
        <v>31</v>
      </c>
      <c r="G72" t="s">
        <v>28</v>
      </c>
      <c r="H72">
        <v>28902</v>
      </c>
      <c r="I72">
        <v>19105</v>
      </c>
      <c r="J72">
        <f>H72-I72</f>
        <v>9797</v>
      </c>
      <c r="K72" s="6">
        <f>J72/H72</f>
        <v>0.3389730814476507</v>
      </c>
      <c r="L72" t="str">
        <f t="array" ref="L72">_xlfn.IFS(J72&gt;15000,"Excellent",J72&gt;=5000,"Good",J72&lt;5000,"Poor")</f>
        <v>Good</v>
      </c>
      <c r="M72">
        <f t="array" ref="M72">_xlfn.XLOOKUP(G72,' Employee_Salary'!$A$1:A76,' Employee_Salary'!$B$1:B76,FALSE)</f>
        <v>45000</v>
      </c>
      <c r="N72" s="9">
        <f>M72/H72</f>
        <v>1.5569856757317833</v>
      </c>
      <c r="O72" s="9">
        <f>IF(D72="Electronics",H72*5%,IF(D72="Furniture",H72*8%,0))</f>
        <v>1445.1000000000001</v>
      </c>
      <c r="P72">
        <f>_xlfn.RANK.EQ(H72,$H$2:$H$201,0)</f>
        <v>6</v>
      </c>
      <c r="Q72">
        <f>SUMIFS($H$2:$H$201,$B$2:$B$201,"&lt;="&amp;B72)</f>
        <v>665652</v>
      </c>
    </row>
    <row r="73" spans="1:17" x14ac:dyDescent="0.35">
      <c r="A73">
        <v>72</v>
      </c>
      <c r="B73" s="1">
        <v>45690</v>
      </c>
      <c r="C73" t="s">
        <v>37</v>
      </c>
      <c r="D73" t="s">
        <v>18</v>
      </c>
      <c r="E73" t="s">
        <v>26</v>
      </c>
      <c r="F73" t="s">
        <v>62</v>
      </c>
      <c r="G73" t="s">
        <v>23</v>
      </c>
      <c r="H73">
        <v>17678</v>
      </c>
      <c r="I73">
        <v>14746</v>
      </c>
      <c r="J73">
        <f>H73-I73</f>
        <v>2932</v>
      </c>
      <c r="K73" s="6">
        <f>J73/H73</f>
        <v>0.16585586604819549</v>
      </c>
      <c r="L73" t="str">
        <f t="array" ref="L73">_xlfn.IFS(J73&gt;15000,"Excellent",J73&gt;=5000,"Good",J73&lt;5000,"Poor")</f>
        <v>Poor</v>
      </c>
      <c r="M73">
        <f t="array" ref="M73">_xlfn.XLOOKUP(G73,' Employee_Salary'!$A$1:A77,' Employee_Salary'!$B$1:B77,FALSE)</f>
        <v>43000</v>
      </c>
      <c r="N73" s="9">
        <f>M73/H73</f>
        <v>2.4324018554135085</v>
      </c>
      <c r="O73" s="9">
        <f>IF(D73="Electronics",H73*5%,IF(D73="Furniture",H73*8%,0))</f>
        <v>883.90000000000009</v>
      </c>
      <c r="P73">
        <f>_xlfn.RANK.EQ(H73,$H$2:$H$201,0)</f>
        <v>86</v>
      </c>
      <c r="Q73">
        <f>SUMIFS($H$2:$H$201,$B$2:$B$201,"&lt;="&amp;B73)</f>
        <v>1869415</v>
      </c>
    </row>
    <row r="74" spans="1:17" x14ac:dyDescent="0.35">
      <c r="A74">
        <v>73</v>
      </c>
      <c r="B74" s="1">
        <v>45676</v>
      </c>
      <c r="C74" t="s">
        <v>9</v>
      </c>
      <c r="D74" t="s">
        <v>18</v>
      </c>
      <c r="E74" t="s">
        <v>29</v>
      </c>
      <c r="F74" t="s">
        <v>53</v>
      </c>
      <c r="G74" t="s">
        <v>35</v>
      </c>
      <c r="H74">
        <v>26496</v>
      </c>
      <c r="I74">
        <v>23793</v>
      </c>
      <c r="J74">
        <f>H74-I74</f>
        <v>2703</v>
      </c>
      <c r="K74" s="6">
        <f>J74/H74</f>
        <v>0.10201539855072464</v>
      </c>
      <c r="L74" t="str">
        <f t="array" ref="L74">_xlfn.IFS(J74&gt;15000,"Excellent",J74&gt;=5000,"Good",J74&lt;5000,"Poor")</f>
        <v>Poor</v>
      </c>
      <c r="M74">
        <f t="array" ref="M74">_xlfn.XLOOKUP(G74,' Employee_Salary'!$A$1:A78,' Employee_Salary'!$B$1:B78,FALSE)</f>
        <v>40000</v>
      </c>
      <c r="N74" s="9">
        <f>M74/H74</f>
        <v>1.5096618357487923</v>
      </c>
      <c r="O74" s="9">
        <f>IF(D74="Electronics",H74*5%,IF(D74="Furniture",H74*8%,0))</f>
        <v>1324.8000000000002</v>
      </c>
      <c r="P74">
        <f>_xlfn.RANK.EQ(H74,$H$2:$H$201,0)</f>
        <v>26</v>
      </c>
      <c r="Q74">
        <f>SUMIFS($H$2:$H$201,$B$2:$B$201,"&lt;="&amp;B74)</f>
        <v>1012542</v>
      </c>
    </row>
    <row r="75" spans="1:17" x14ac:dyDescent="0.35">
      <c r="A75">
        <v>74</v>
      </c>
      <c r="B75" s="1">
        <v>45702</v>
      </c>
      <c r="C75" t="s">
        <v>14</v>
      </c>
      <c r="D75" t="s">
        <v>18</v>
      </c>
      <c r="E75" t="s">
        <v>32</v>
      </c>
      <c r="F75" t="s">
        <v>63</v>
      </c>
      <c r="G75" t="s">
        <v>23</v>
      </c>
      <c r="H75">
        <v>6369</v>
      </c>
      <c r="I75">
        <v>5405</v>
      </c>
      <c r="J75">
        <f>H75-I75</f>
        <v>964</v>
      </c>
      <c r="K75" s="6">
        <f>J75/H75</f>
        <v>0.1513581409954467</v>
      </c>
      <c r="L75" t="str">
        <f t="array" ref="L75">_xlfn.IFS(J75&gt;15000,"Excellent",J75&gt;=5000,"Good",J75&lt;5000,"Poor")</f>
        <v>Poor</v>
      </c>
      <c r="M75">
        <f t="array" ref="M75">_xlfn.XLOOKUP(G75,' Employee_Salary'!$A$1:A79,' Employee_Salary'!$B$1:B79,FALSE)</f>
        <v>43000</v>
      </c>
      <c r="N75" s="9">
        <f>M75/H75</f>
        <v>6.7514523473072696</v>
      </c>
      <c r="O75" s="9">
        <f>IF(D75="Electronics",H75*5%,IF(D75="Furniture",H75*8%,0))</f>
        <v>318.45000000000005</v>
      </c>
      <c r="P75">
        <f>_xlfn.RANK.EQ(H75,$H$2:$H$201,0)</f>
        <v>175</v>
      </c>
      <c r="Q75">
        <f>SUMIFS($H$2:$H$201,$B$2:$B$201,"&lt;="&amp;B75)</f>
        <v>2448350</v>
      </c>
    </row>
    <row r="76" spans="1:17" x14ac:dyDescent="0.35">
      <c r="A76">
        <v>75</v>
      </c>
      <c r="B76" s="1">
        <v>45670</v>
      </c>
      <c r="C76" t="s">
        <v>9</v>
      </c>
      <c r="D76" t="s">
        <v>18</v>
      </c>
      <c r="E76" t="s">
        <v>19</v>
      </c>
      <c r="F76" t="s">
        <v>22</v>
      </c>
      <c r="G76" t="s">
        <v>35</v>
      </c>
      <c r="H76">
        <v>17004</v>
      </c>
      <c r="I76">
        <v>10698</v>
      </c>
      <c r="J76">
        <f>H76-I76</f>
        <v>6306</v>
      </c>
      <c r="K76" s="6">
        <f>J76/H76</f>
        <v>0.37085391672547635</v>
      </c>
      <c r="L76" t="str">
        <f t="array" ref="L76">_xlfn.IFS(J76&gt;15000,"Excellent",J76&gt;=5000,"Good",J76&lt;5000,"Poor")</f>
        <v>Good</v>
      </c>
      <c r="M76">
        <f t="array" ref="M76">_xlfn.XLOOKUP(G76,' Employee_Salary'!$A$1:A80,' Employee_Salary'!$B$1:B80,FALSE)</f>
        <v>40000</v>
      </c>
      <c r="N76" s="9">
        <f>M76/H76</f>
        <v>2.3523876734885909</v>
      </c>
      <c r="O76" s="9">
        <f>IF(D76="Electronics",H76*5%,IF(D76="Furniture",H76*8%,0))</f>
        <v>850.2</v>
      </c>
      <c r="P76">
        <f>_xlfn.RANK.EQ(H76,$H$2:$H$201,0)</f>
        <v>96</v>
      </c>
      <c r="Q76">
        <f>SUMIFS($H$2:$H$201,$B$2:$B$201,"&lt;="&amp;B76)</f>
        <v>757644</v>
      </c>
    </row>
    <row r="77" spans="1:17" x14ac:dyDescent="0.35">
      <c r="A77">
        <v>76</v>
      </c>
      <c r="B77" s="1">
        <v>45695</v>
      </c>
      <c r="C77" t="s">
        <v>9</v>
      </c>
      <c r="D77" t="s">
        <v>10</v>
      </c>
      <c r="E77" t="s">
        <v>11</v>
      </c>
      <c r="F77" t="s">
        <v>45</v>
      </c>
      <c r="G77" t="s">
        <v>28</v>
      </c>
      <c r="H77">
        <v>5148</v>
      </c>
      <c r="I77">
        <v>3856</v>
      </c>
      <c r="J77">
        <f>H77-I77</f>
        <v>1292</v>
      </c>
      <c r="K77" s="6">
        <f>J77/H77</f>
        <v>0.25097125097125095</v>
      </c>
      <c r="L77" t="str">
        <f t="array" ref="L77">_xlfn.IFS(J77&gt;15000,"Excellent",J77&gt;=5000,"Good",J77&lt;5000,"Poor")</f>
        <v>Poor</v>
      </c>
      <c r="M77">
        <f t="array" ref="M77">_xlfn.XLOOKUP(G77,' Employee_Salary'!$A$1:A81,' Employee_Salary'!$B$1:B81,FALSE)</f>
        <v>45000</v>
      </c>
      <c r="N77" s="9">
        <f>M77/H77</f>
        <v>8.7412587412587417</v>
      </c>
      <c r="O77" s="9">
        <f>IF(D77="Electronics",H77*5%,IF(D77="Furniture",H77*8%,0))</f>
        <v>411.84000000000003</v>
      </c>
      <c r="P77">
        <f>_xlfn.RANK.EQ(H77,$H$2:$H$201,0)</f>
        <v>183</v>
      </c>
      <c r="Q77">
        <f>SUMIFS($H$2:$H$201,$B$2:$B$201,"&lt;="&amp;B77)</f>
        <v>2014845</v>
      </c>
    </row>
    <row r="78" spans="1:17" x14ac:dyDescent="0.35">
      <c r="A78">
        <v>77</v>
      </c>
      <c r="B78" s="1">
        <v>45676</v>
      </c>
      <c r="C78" t="s">
        <v>9</v>
      </c>
      <c r="D78" t="s">
        <v>18</v>
      </c>
      <c r="E78" t="s">
        <v>26</v>
      </c>
      <c r="F78" t="s">
        <v>64</v>
      </c>
      <c r="G78" t="s">
        <v>33</v>
      </c>
      <c r="H78">
        <v>5919</v>
      </c>
      <c r="I78">
        <v>5047</v>
      </c>
      <c r="J78">
        <f>H78-I78</f>
        <v>872</v>
      </c>
      <c r="K78" s="6">
        <f>J78/H78</f>
        <v>0.14732218280114884</v>
      </c>
      <c r="L78" t="str">
        <f t="array" ref="L78">_xlfn.IFS(J78&gt;15000,"Excellent",J78&gt;=5000,"Good",J78&lt;5000,"Poor")</f>
        <v>Poor</v>
      </c>
      <c r="M78">
        <f t="array" ref="M78">_xlfn.XLOOKUP(G78,' Employee_Salary'!$A$1:A82,' Employee_Salary'!$B$1:B82,FALSE)</f>
        <v>42000</v>
      </c>
      <c r="N78" s="9">
        <f>M78/H78</f>
        <v>7.0957932083122151</v>
      </c>
      <c r="O78" s="9">
        <f>IF(D78="Electronics",H78*5%,IF(D78="Furniture",H78*8%,0))</f>
        <v>295.95</v>
      </c>
      <c r="P78">
        <f>_xlfn.RANK.EQ(H78,$H$2:$H$201,0)</f>
        <v>178</v>
      </c>
      <c r="Q78">
        <f>SUMIFS($H$2:$H$201,$B$2:$B$201,"&lt;="&amp;B78)</f>
        <v>1012542</v>
      </c>
    </row>
    <row r="79" spans="1:17" x14ac:dyDescent="0.35">
      <c r="A79">
        <v>78</v>
      </c>
      <c r="B79" s="1">
        <v>45696</v>
      </c>
      <c r="C79" t="s">
        <v>9</v>
      </c>
      <c r="D79" t="s">
        <v>10</v>
      </c>
      <c r="E79" t="s">
        <v>42</v>
      </c>
      <c r="F79" t="s">
        <v>56</v>
      </c>
      <c r="G79" t="s">
        <v>33</v>
      </c>
      <c r="H79">
        <v>12848</v>
      </c>
      <c r="I79">
        <v>10792</v>
      </c>
      <c r="J79">
        <f>H79-I79</f>
        <v>2056</v>
      </c>
      <c r="K79" s="6">
        <f>J79/H79</f>
        <v>0.16002490660024907</v>
      </c>
      <c r="L79" t="str">
        <f t="array" ref="L79">_xlfn.IFS(J79&gt;15000,"Excellent",J79&gt;=5000,"Good",J79&lt;5000,"Poor")</f>
        <v>Poor</v>
      </c>
      <c r="M79">
        <f t="array" ref="M79">_xlfn.XLOOKUP(G79,' Employee_Salary'!$A$1:A83,' Employee_Salary'!$B$1:B83,FALSE)</f>
        <v>42000</v>
      </c>
      <c r="N79" s="9">
        <f>M79/H79</f>
        <v>3.268991282689913</v>
      </c>
      <c r="O79" s="9">
        <f>IF(D79="Electronics",H79*5%,IF(D79="Furniture",H79*8%,0))</f>
        <v>1027.8399999999999</v>
      </c>
      <c r="P79">
        <f>_xlfn.RANK.EQ(H79,$H$2:$H$201,0)</f>
        <v>126</v>
      </c>
      <c r="Q79">
        <f>SUMIFS($H$2:$H$201,$B$2:$B$201,"&lt;="&amp;B79)</f>
        <v>2074177</v>
      </c>
    </row>
    <row r="80" spans="1:17" x14ac:dyDescent="0.35">
      <c r="A80">
        <v>79</v>
      </c>
      <c r="B80" s="1">
        <v>45663</v>
      </c>
      <c r="C80" t="s">
        <v>37</v>
      </c>
      <c r="D80" t="s">
        <v>10</v>
      </c>
      <c r="E80" t="s">
        <v>42</v>
      </c>
      <c r="F80" t="s">
        <v>39</v>
      </c>
      <c r="G80" t="s">
        <v>23</v>
      </c>
      <c r="H80">
        <v>12268</v>
      </c>
      <c r="I80">
        <v>8818</v>
      </c>
      <c r="J80">
        <f>H80-I80</f>
        <v>3450</v>
      </c>
      <c r="K80" s="6">
        <f>J80/H80</f>
        <v>0.28121943267036192</v>
      </c>
      <c r="L80" t="str">
        <f t="array" ref="L80">_xlfn.IFS(J80&gt;15000,"Excellent",J80&gt;=5000,"Good",J80&lt;5000,"Poor")</f>
        <v>Poor</v>
      </c>
      <c r="M80">
        <f t="array" ref="M80">_xlfn.XLOOKUP(G80,' Employee_Salary'!$A$1:A84,' Employee_Salary'!$B$1:B84,FALSE)</f>
        <v>43000</v>
      </c>
      <c r="N80" s="9">
        <f>M80/H80</f>
        <v>3.5050537985001631</v>
      </c>
      <c r="O80" s="9">
        <f>IF(D80="Electronics",H80*5%,IF(D80="Furniture",H80*8%,0))</f>
        <v>981.44</v>
      </c>
      <c r="P80">
        <f>_xlfn.RANK.EQ(H80,$H$2:$H$201,0)</f>
        <v>137</v>
      </c>
      <c r="Q80">
        <f>SUMIFS($H$2:$H$201,$B$2:$B$201,"&lt;="&amp;B80)</f>
        <v>314278</v>
      </c>
    </row>
    <row r="81" spans="1:17" x14ac:dyDescent="0.35">
      <c r="A81">
        <v>80</v>
      </c>
      <c r="B81" s="1">
        <v>45705</v>
      </c>
      <c r="C81" t="s">
        <v>37</v>
      </c>
      <c r="D81" t="s">
        <v>18</v>
      </c>
      <c r="E81" t="s">
        <v>29</v>
      </c>
      <c r="F81" t="s">
        <v>40</v>
      </c>
      <c r="G81" t="s">
        <v>23</v>
      </c>
      <c r="H81">
        <v>26582</v>
      </c>
      <c r="I81">
        <v>19041</v>
      </c>
      <c r="J81">
        <f>H81-I81</f>
        <v>7541</v>
      </c>
      <c r="K81" s="6">
        <f>J81/H81</f>
        <v>0.2836882100669626</v>
      </c>
      <c r="L81" t="str">
        <f t="array" ref="L81">_xlfn.IFS(J81&gt;15000,"Excellent",J81&gt;=5000,"Good",J81&lt;5000,"Poor")</f>
        <v>Good</v>
      </c>
      <c r="M81">
        <f t="array" ref="M81">_xlfn.XLOOKUP(G81,' Employee_Salary'!$A$1:A85,' Employee_Salary'!$B$1:B85,FALSE)</f>
        <v>43000</v>
      </c>
      <c r="N81" s="9">
        <f>M81/H81</f>
        <v>1.6176359942818448</v>
      </c>
      <c r="O81" s="9">
        <f>IF(D81="Electronics",H81*5%,IF(D81="Furniture",H81*8%,0))</f>
        <v>1329.1000000000001</v>
      </c>
      <c r="P81">
        <f>_xlfn.RANK.EQ(H81,$H$2:$H$201,0)</f>
        <v>24</v>
      </c>
      <c r="Q81">
        <f>SUMIFS($H$2:$H$201,$B$2:$B$201,"&lt;="&amp;B81)</f>
        <v>2691046</v>
      </c>
    </row>
    <row r="82" spans="1:17" x14ac:dyDescent="0.35">
      <c r="A82">
        <v>81</v>
      </c>
      <c r="B82" s="1">
        <v>45697</v>
      </c>
      <c r="C82" t="s">
        <v>9</v>
      </c>
      <c r="D82" t="s">
        <v>18</v>
      </c>
      <c r="E82" t="s">
        <v>26</v>
      </c>
      <c r="F82" t="s">
        <v>27</v>
      </c>
      <c r="G82" t="s">
        <v>33</v>
      </c>
      <c r="H82">
        <v>16473</v>
      </c>
      <c r="I82">
        <v>14646</v>
      </c>
      <c r="J82">
        <f>H82-I82</f>
        <v>1827</v>
      </c>
      <c r="K82" s="6">
        <f>J82/H82</f>
        <v>0.11090875978874522</v>
      </c>
      <c r="L82" t="str">
        <f t="array" ref="L82">_xlfn.IFS(J82&gt;15000,"Excellent",J82&gt;=5000,"Good",J82&lt;5000,"Poor")</f>
        <v>Poor</v>
      </c>
      <c r="M82">
        <f t="array" ref="M82">_xlfn.XLOOKUP(G82,' Employee_Salary'!$A$1:A86,' Employee_Salary'!$B$1:B86,FALSE)</f>
        <v>42000</v>
      </c>
      <c r="N82" s="9">
        <f>M82/H82</f>
        <v>2.549626661810235</v>
      </c>
      <c r="O82" s="9">
        <f>IF(D82="Electronics",H82*5%,IF(D82="Furniture",H82*8%,0))</f>
        <v>823.65000000000009</v>
      </c>
      <c r="P82">
        <f>_xlfn.RANK.EQ(H82,$H$2:$H$201,0)</f>
        <v>103</v>
      </c>
      <c r="Q82">
        <f>SUMIFS($H$2:$H$201,$B$2:$B$201,"&lt;="&amp;B82)</f>
        <v>2181315</v>
      </c>
    </row>
    <row r="83" spans="1:17" x14ac:dyDescent="0.35">
      <c r="A83">
        <v>82</v>
      </c>
      <c r="B83" s="1">
        <v>45680</v>
      </c>
      <c r="C83" t="s">
        <v>17</v>
      </c>
      <c r="D83" t="s">
        <v>18</v>
      </c>
      <c r="E83" t="s">
        <v>19</v>
      </c>
      <c r="F83" t="s">
        <v>53</v>
      </c>
      <c r="G83" t="s">
        <v>23</v>
      </c>
      <c r="H83">
        <v>25437</v>
      </c>
      <c r="I83">
        <v>18625</v>
      </c>
      <c r="J83">
        <f>H83-I83</f>
        <v>6812</v>
      </c>
      <c r="K83" s="6">
        <f>J83/H83</f>
        <v>0.26779887565357552</v>
      </c>
      <c r="L83" t="str">
        <f t="array" ref="L83">_xlfn.IFS(J83&gt;15000,"Excellent",J83&gt;=5000,"Good",J83&lt;5000,"Poor")</f>
        <v>Good</v>
      </c>
      <c r="M83">
        <f t="array" ref="M83">_xlfn.XLOOKUP(G83,' Employee_Salary'!$A$1:A87,' Employee_Salary'!$B$1:B87,FALSE)</f>
        <v>43000</v>
      </c>
      <c r="N83" s="9">
        <f>M83/H83</f>
        <v>1.6904509179541614</v>
      </c>
      <c r="O83" s="9">
        <f>IF(D83="Electronics",H83*5%,IF(D83="Furniture",H83*8%,0))</f>
        <v>1271.8500000000001</v>
      </c>
      <c r="P83">
        <f>_xlfn.RANK.EQ(H83,$H$2:$H$201,0)</f>
        <v>30</v>
      </c>
      <c r="Q83">
        <f>SUMIFS($H$2:$H$201,$B$2:$B$201,"&lt;="&amp;B83)</f>
        <v>1349916</v>
      </c>
    </row>
    <row r="84" spans="1:17" x14ac:dyDescent="0.35">
      <c r="A84">
        <v>83</v>
      </c>
      <c r="B84" s="1">
        <v>45687</v>
      </c>
      <c r="C84" t="s">
        <v>14</v>
      </c>
      <c r="D84" t="s">
        <v>18</v>
      </c>
      <c r="E84" t="s">
        <v>32</v>
      </c>
      <c r="F84" t="s">
        <v>65</v>
      </c>
      <c r="G84" t="s">
        <v>13</v>
      </c>
      <c r="H84">
        <v>6512</v>
      </c>
      <c r="I84">
        <v>4039</v>
      </c>
      <c r="J84">
        <f>H84-I84</f>
        <v>2473</v>
      </c>
      <c r="K84" s="6">
        <f>J84/H84</f>
        <v>0.37976044226044225</v>
      </c>
      <c r="L84" t="str">
        <f t="array" ref="L84">_xlfn.IFS(J84&gt;15000,"Excellent",J84&gt;=5000,"Good",J84&lt;5000,"Poor")</f>
        <v>Poor</v>
      </c>
      <c r="M84">
        <f t="array" ref="M84">_xlfn.XLOOKUP(G84,' Employee_Salary'!$A$1:A88,' Employee_Salary'!$B$1:B88,FALSE)</f>
        <v>47000</v>
      </c>
      <c r="N84" s="9">
        <f>M84/H84</f>
        <v>7.2174447174447174</v>
      </c>
      <c r="O84" s="9">
        <f>IF(D84="Electronics",H84*5%,IF(D84="Furniture",H84*8%,0))</f>
        <v>325.60000000000002</v>
      </c>
      <c r="P84">
        <f>_xlfn.RANK.EQ(H84,$H$2:$H$201,0)</f>
        <v>173</v>
      </c>
      <c r="Q84">
        <f>SUMIFS($H$2:$H$201,$B$2:$B$201,"&lt;="&amp;B84)</f>
        <v>1735136</v>
      </c>
    </row>
    <row r="85" spans="1:17" x14ac:dyDescent="0.35">
      <c r="A85">
        <v>84</v>
      </c>
      <c r="B85" s="1">
        <v>45688</v>
      </c>
      <c r="C85" t="s">
        <v>17</v>
      </c>
      <c r="D85" t="s">
        <v>18</v>
      </c>
      <c r="E85" t="s">
        <v>26</v>
      </c>
      <c r="F85" t="s">
        <v>38</v>
      </c>
      <c r="G85" t="s">
        <v>35</v>
      </c>
      <c r="H85">
        <v>13717</v>
      </c>
      <c r="I85">
        <v>9719</v>
      </c>
      <c r="J85">
        <f>H85-I85</f>
        <v>3998</v>
      </c>
      <c r="K85" s="6">
        <f>J85/H85</f>
        <v>0.29146314791864109</v>
      </c>
      <c r="L85" t="str">
        <f t="array" ref="L85">_xlfn.IFS(J85&gt;15000,"Excellent",J85&gt;=5000,"Good",J85&lt;5000,"Poor")</f>
        <v>Poor</v>
      </c>
      <c r="M85">
        <f t="array" ref="M85">_xlfn.XLOOKUP(G85,' Employee_Salary'!$A$1:A89,' Employee_Salary'!$B$1:B89,FALSE)</f>
        <v>40000</v>
      </c>
      <c r="N85" s="9">
        <f>M85/H85</f>
        <v>2.9160895239483851</v>
      </c>
      <c r="O85" s="9">
        <f>IF(D85="Electronics",H85*5%,IF(D85="Furniture",H85*8%,0))</f>
        <v>685.85</v>
      </c>
      <c r="P85">
        <f>_xlfn.RANK.EQ(H85,$H$2:$H$201,0)</f>
        <v>118</v>
      </c>
      <c r="Q85">
        <f>SUMIFS($H$2:$H$201,$B$2:$B$201,"&lt;="&amp;B85)</f>
        <v>1789203</v>
      </c>
    </row>
    <row r="86" spans="1:17" x14ac:dyDescent="0.35">
      <c r="A86">
        <v>85</v>
      </c>
      <c r="B86" s="1">
        <v>45683</v>
      </c>
      <c r="C86" t="s">
        <v>9</v>
      </c>
      <c r="D86" t="s">
        <v>10</v>
      </c>
      <c r="E86" t="s">
        <v>11</v>
      </c>
      <c r="F86" t="s">
        <v>34</v>
      </c>
      <c r="G86" t="s">
        <v>35</v>
      </c>
      <c r="H86">
        <v>16696</v>
      </c>
      <c r="I86">
        <v>12537</v>
      </c>
      <c r="J86">
        <f>H86-I86</f>
        <v>4159</v>
      </c>
      <c r="K86" s="6">
        <f>J86/H86</f>
        <v>0.24910158121705797</v>
      </c>
      <c r="L86" t="str">
        <f t="array" ref="L86">_xlfn.IFS(J86&gt;15000,"Excellent",J86&gt;=5000,"Good",J86&lt;5000,"Poor")</f>
        <v>Poor</v>
      </c>
      <c r="M86">
        <f t="array" ref="M86">_xlfn.XLOOKUP(G86,' Employee_Salary'!$A$1:A90,' Employee_Salary'!$B$1:B90,FALSE)</f>
        <v>40000</v>
      </c>
      <c r="N86" s="9">
        <f>M86/H86</f>
        <v>2.3957834211787254</v>
      </c>
      <c r="O86" s="9">
        <f>IF(D86="Electronics",H86*5%,IF(D86="Furniture",H86*8%,0))</f>
        <v>1335.68</v>
      </c>
      <c r="P86">
        <f>_xlfn.RANK.EQ(H86,$H$2:$H$201,0)</f>
        <v>100</v>
      </c>
      <c r="Q86">
        <f>SUMIFS($H$2:$H$201,$B$2:$B$201,"&lt;="&amp;B86)</f>
        <v>1589196</v>
      </c>
    </row>
    <row r="87" spans="1:17" x14ac:dyDescent="0.35">
      <c r="A87">
        <v>86</v>
      </c>
      <c r="B87" s="1">
        <v>45700</v>
      </c>
      <c r="C87" t="s">
        <v>9</v>
      </c>
      <c r="D87" t="s">
        <v>18</v>
      </c>
      <c r="E87" t="s">
        <v>32</v>
      </c>
      <c r="F87" t="s">
        <v>49</v>
      </c>
      <c r="G87" t="s">
        <v>13</v>
      </c>
      <c r="H87">
        <v>16152</v>
      </c>
      <c r="I87">
        <v>13688</v>
      </c>
      <c r="J87">
        <f>H87-I87</f>
        <v>2464</v>
      </c>
      <c r="K87" s="6">
        <f>J87/H87</f>
        <v>0.15255076770678555</v>
      </c>
      <c r="L87" t="str">
        <f t="array" ref="L87">_xlfn.IFS(J87&gt;15000,"Excellent",J87&gt;=5000,"Good",J87&lt;5000,"Poor")</f>
        <v>Poor</v>
      </c>
      <c r="M87">
        <f t="array" ref="M87">_xlfn.XLOOKUP(G87,' Employee_Salary'!$A$1:A91,' Employee_Salary'!$B$1:B91,FALSE)</f>
        <v>47000</v>
      </c>
      <c r="N87" s="9">
        <f>M87/H87</f>
        <v>2.9098563645368993</v>
      </c>
      <c r="O87" s="9">
        <f>IF(D87="Electronics",H87*5%,IF(D87="Furniture",H87*8%,0))</f>
        <v>807.6</v>
      </c>
      <c r="P87">
        <f>_xlfn.RANK.EQ(H87,$H$2:$H$201,0)</f>
        <v>105</v>
      </c>
      <c r="Q87">
        <f>SUMIFS($H$2:$H$201,$B$2:$B$201,"&lt;="&amp;B87)</f>
        <v>2334388</v>
      </c>
    </row>
    <row r="88" spans="1:17" x14ac:dyDescent="0.35">
      <c r="A88">
        <v>87</v>
      </c>
      <c r="B88" s="1">
        <v>45705</v>
      </c>
      <c r="C88" t="s">
        <v>9</v>
      </c>
      <c r="D88" t="s">
        <v>18</v>
      </c>
      <c r="E88" t="s">
        <v>32</v>
      </c>
      <c r="F88" t="s">
        <v>50</v>
      </c>
      <c r="G88" t="s">
        <v>35</v>
      </c>
      <c r="H88">
        <v>23879</v>
      </c>
      <c r="I88">
        <v>16308</v>
      </c>
      <c r="J88">
        <f>H88-I88</f>
        <v>7571</v>
      </c>
      <c r="K88" s="6">
        <f>J88/H88</f>
        <v>0.31705682817538422</v>
      </c>
      <c r="L88" t="str">
        <f t="array" ref="L88">_xlfn.IFS(J88&gt;15000,"Excellent",J88&gt;=5000,"Good",J88&lt;5000,"Poor")</f>
        <v>Good</v>
      </c>
      <c r="M88">
        <f t="array" ref="M88">_xlfn.XLOOKUP(G88,' Employee_Salary'!$A$1:A92,' Employee_Salary'!$B$1:B92,FALSE)</f>
        <v>40000</v>
      </c>
      <c r="N88" s="9">
        <f>M88/H88</f>
        <v>1.6751120231165459</v>
      </c>
      <c r="O88" s="9">
        <f>IF(D88="Electronics",H88*5%,IF(D88="Furniture",H88*8%,0))</f>
        <v>1193.95</v>
      </c>
      <c r="P88">
        <f>_xlfn.RANK.EQ(H88,$H$2:$H$201,0)</f>
        <v>37</v>
      </c>
      <c r="Q88">
        <f>SUMIFS($H$2:$H$201,$B$2:$B$201,"&lt;="&amp;B88)</f>
        <v>2691046</v>
      </c>
    </row>
    <row r="89" spans="1:17" x14ac:dyDescent="0.35">
      <c r="A89">
        <v>88</v>
      </c>
      <c r="B89" s="1">
        <v>45710</v>
      </c>
      <c r="C89" t="s">
        <v>14</v>
      </c>
      <c r="D89" t="s">
        <v>10</v>
      </c>
      <c r="E89" t="s">
        <v>21</v>
      </c>
      <c r="F89" t="s">
        <v>54</v>
      </c>
      <c r="G89" t="s">
        <v>28</v>
      </c>
      <c r="H89">
        <v>19812</v>
      </c>
      <c r="I89">
        <v>15108</v>
      </c>
      <c r="J89">
        <f>H89-I89</f>
        <v>4704</v>
      </c>
      <c r="K89" s="6">
        <f>J89/H89</f>
        <v>0.23743185947910359</v>
      </c>
      <c r="L89" t="str">
        <f t="array" ref="L89">_xlfn.IFS(J89&gt;15000,"Excellent",J89&gt;=5000,"Good",J89&lt;5000,"Poor")</f>
        <v>Poor</v>
      </c>
      <c r="M89">
        <f t="array" ref="M89">_xlfn.XLOOKUP(G89,' Employee_Salary'!$A$1:A93,' Employee_Salary'!$B$1:B93,FALSE)</f>
        <v>45000</v>
      </c>
      <c r="N89" s="9">
        <f>M89/H89</f>
        <v>2.2713506965475467</v>
      </c>
      <c r="O89" s="9">
        <f>IF(D89="Electronics",H89*5%,IF(D89="Furniture",H89*8%,0))</f>
        <v>1584.96</v>
      </c>
      <c r="P89">
        <f>_xlfn.RANK.EQ(H89,$H$2:$H$201,0)</f>
        <v>67</v>
      </c>
      <c r="Q89">
        <f>SUMIFS($H$2:$H$201,$B$2:$B$201,"&lt;="&amp;B89)</f>
        <v>2944836</v>
      </c>
    </row>
    <row r="90" spans="1:17" x14ac:dyDescent="0.35">
      <c r="A90">
        <v>89</v>
      </c>
      <c r="B90" s="1">
        <v>45694</v>
      </c>
      <c r="C90" t="s">
        <v>37</v>
      </c>
      <c r="D90" t="s">
        <v>10</v>
      </c>
      <c r="E90" t="s">
        <v>11</v>
      </c>
      <c r="F90" t="s">
        <v>40</v>
      </c>
      <c r="G90" t="s">
        <v>35</v>
      </c>
      <c r="H90">
        <v>28689</v>
      </c>
      <c r="I90">
        <v>23198</v>
      </c>
      <c r="J90">
        <f>H90-I90</f>
        <v>5491</v>
      </c>
      <c r="K90" s="6">
        <f>J90/H90</f>
        <v>0.19139739970023353</v>
      </c>
      <c r="L90" t="str">
        <f t="array" ref="L90">_xlfn.IFS(J90&gt;15000,"Excellent",J90&gt;=5000,"Good",J90&lt;5000,"Poor")</f>
        <v>Good</v>
      </c>
      <c r="M90">
        <f t="array" ref="M90">_xlfn.XLOOKUP(G90,' Employee_Salary'!$A$1:A94,' Employee_Salary'!$B$1:B94,FALSE)</f>
        <v>40000</v>
      </c>
      <c r="N90" s="9">
        <f>M90/H90</f>
        <v>1.3942626093624735</v>
      </c>
      <c r="O90" s="9">
        <f>IF(D90="Electronics",H90*5%,IF(D90="Furniture",H90*8%,0))</f>
        <v>2295.12</v>
      </c>
      <c r="P90">
        <f>_xlfn.RANK.EQ(H90,$H$2:$H$201,0)</f>
        <v>7</v>
      </c>
      <c r="Q90">
        <f>SUMIFS($H$2:$H$201,$B$2:$B$201,"&lt;="&amp;B90)</f>
        <v>1993799</v>
      </c>
    </row>
    <row r="91" spans="1:17" x14ac:dyDescent="0.35">
      <c r="A91">
        <v>90</v>
      </c>
      <c r="B91" s="1">
        <v>45717</v>
      </c>
      <c r="C91" t="s">
        <v>17</v>
      </c>
      <c r="D91" t="s">
        <v>10</v>
      </c>
      <c r="E91" t="s">
        <v>42</v>
      </c>
      <c r="F91" t="s">
        <v>66</v>
      </c>
      <c r="G91" t="s">
        <v>13</v>
      </c>
      <c r="H91">
        <v>22720</v>
      </c>
      <c r="I91">
        <v>16964</v>
      </c>
      <c r="J91">
        <f>H91-I91</f>
        <v>5756</v>
      </c>
      <c r="K91" s="6">
        <f>J91/H91</f>
        <v>0.25334507042253523</v>
      </c>
      <c r="L91" t="str">
        <f t="array" ref="L91">_xlfn.IFS(J91&gt;15000,"Excellent",J91&gt;=5000,"Good",J91&lt;5000,"Poor")</f>
        <v>Good</v>
      </c>
      <c r="M91">
        <f t="array" ref="M91">_xlfn.XLOOKUP(G91,' Employee_Salary'!$A$1:A95,' Employee_Salary'!$B$1:B95,FALSE)</f>
        <v>47000</v>
      </c>
      <c r="N91" s="9">
        <f>M91/H91</f>
        <v>2.068661971830986</v>
      </c>
      <c r="O91" s="9">
        <f>IF(D91="Electronics",H91*5%,IF(D91="Furniture",H91*8%,0))</f>
        <v>1817.6000000000001</v>
      </c>
      <c r="P91">
        <f>_xlfn.RANK.EQ(H91,$H$2:$H$201,0)</f>
        <v>46</v>
      </c>
      <c r="Q91">
        <f>SUMIFS($H$2:$H$201,$B$2:$B$201,"&lt;="&amp;B91)</f>
        <v>3235200</v>
      </c>
    </row>
    <row r="92" spans="1:17" x14ac:dyDescent="0.35">
      <c r="A92">
        <v>91</v>
      </c>
      <c r="B92" s="1">
        <v>45705</v>
      </c>
      <c r="C92" t="s">
        <v>17</v>
      </c>
      <c r="D92" t="s">
        <v>18</v>
      </c>
      <c r="E92" t="s">
        <v>19</v>
      </c>
      <c r="F92" t="s">
        <v>16</v>
      </c>
      <c r="G92" t="s">
        <v>28</v>
      </c>
      <c r="H92">
        <v>21070</v>
      </c>
      <c r="I92">
        <v>14232</v>
      </c>
      <c r="J92">
        <f>H92-I92</f>
        <v>6838</v>
      </c>
      <c r="K92" s="6">
        <f>J92/H92</f>
        <v>0.32453725676317041</v>
      </c>
      <c r="L92" t="str">
        <f t="array" ref="L92">_xlfn.IFS(J92&gt;15000,"Excellent",J92&gt;=5000,"Good",J92&lt;5000,"Poor")</f>
        <v>Good</v>
      </c>
      <c r="M92">
        <f t="array" ref="M92">_xlfn.XLOOKUP(G92,' Employee_Salary'!$A$1:A96,' Employee_Salary'!$B$1:B96,FALSE)</f>
        <v>45000</v>
      </c>
      <c r="N92" s="9">
        <f>M92/H92</f>
        <v>2.135738016136687</v>
      </c>
      <c r="O92" s="9">
        <f>IF(D92="Electronics",H92*5%,IF(D92="Furniture",H92*8%,0))</f>
        <v>1053.5</v>
      </c>
      <c r="P92">
        <f>_xlfn.RANK.EQ(H92,$H$2:$H$201,0)</f>
        <v>61</v>
      </c>
      <c r="Q92">
        <f>SUMIFS($H$2:$H$201,$B$2:$B$201,"&lt;="&amp;B92)</f>
        <v>2691046</v>
      </c>
    </row>
    <row r="93" spans="1:17" x14ac:dyDescent="0.35">
      <c r="A93">
        <v>92</v>
      </c>
      <c r="B93" s="1">
        <v>45677</v>
      </c>
      <c r="C93" t="s">
        <v>37</v>
      </c>
      <c r="D93" t="s">
        <v>10</v>
      </c>
      <c r="E93" t="s">
        <v>42</v>
      </c>
      <c r="F93" t="s">
        <v>61</v>
      </c>
      <c r="G93" t="s">
        <v>33</v>
      </c>
      <c r="H93">
        <v>5006</v>
      </c>
      <c r="I93">
        <v>3123</v>
      </c>
      <c r="J93">
        <f>H93-I93</f>
        <v>1883</v>
      </c>
      <c r="K93" s="6">
        <f>J93/H93</f>
        <v>0.37614862165401519</v>
      </c>
      <c r="L93" t="str">
        <f t="array" ref="L93">_xlfn.IFS(J93&gt;15000,"Excellent",J93&gt;=5000,"Good",J93&lt;5000,"Poor")</f>
        <v>Poor</v>
      </c>
      <c r="M93">
        <f t="array" ref="M93">_xlfn.XLOOKUP(G93,' Employee_Salary'!$A$1:A97,' Employee_Salary'!$B$1:B97,FALSE)</f>
        <v>42000</v>
      </c>
      <c r="N93" s="9">
        <f>M93/H93</f>
        <v>8.3899320815021969</v>
      </c>
      <c r="O93" s="9">
        <f>IF(D93="Electronics",H93*5%,IF(D93="Furniture",H93*8%,0))</f>
        <v>400.48</v>
      </c>
      <c r="P93">
        <f>_xlfn.RANK.EQ(H93,$H$2:$H$201,0)</f>
        <v>185</v>
      </c>
      <c r="Q93">
        <f>SUMIFS($H$2:$H$201,$B$2:$B$201,"&lt;="&amp;B93)</f>
        <v>1137341</v>
      </c>
    </row>
    <row r="94" spans="1:17" x14ac:dyDescent="0.35">
      <c r="A94">
        <v>93</v>
      </c>
      <c r="B94" s="1">
        <v>45715</v>
      </c>
      <c r="C94" t="s">
        <v>17</v>
      </c>
      <c r="D94" t="s">
        <v>10</v>
      </c>
      <c r="E94" t="s">
        <v>11</v>
      </c>
      <c r="F94" t="s">
        <v>67</v>
      </c>
      <c r="G94" t="s">
        <v>33</v>
      </c>
      <c r="H94">
        <v>3008</v>
      </c>
      <c r="I94">
        <v>2561</v>
      </c>
      <c r="J94">
        <f>H94-I94</f>
        <v>447</v>
      </c>
      <c r="K94" s="6">
        <f>J94/H94</f>
        <v>0.14860372340425532</v>
      </c>
      <c r="L94" t="str">
        <f t="array" ref="L94">_xlfn.IFS(J94&gt;15000,"Excellent",J94&gt;=5000,"Good",J94&lt;5000,"Poor")</f>
        <v>Poor</v>
      </c>
      <c r="M94">
        <f t="array" ref="M94">_xlfn.XLOOKUP(G94,' Employee_Salary'!$A$1:A98,' Employee_Salary'!$B$1:B98,FALSE)</f>
        <v>42000</v>
      </c>
      <c r="N94" s="9">
        <f>M94/H94</f>
        <v>13.962765957446809</v>
      </c>
      <c r="O94" s="9">
        <f>IF(D94="Electronics",H94*5%,IF(D94="Furniture",H94*8%,0))</f>
        <v>240.64000000000001</v>
      </c>
      <c r="P94">
        <f>_xlfn.RANK.EQ(H94,$H$2:$H$201,0)</f>
        <v>199</v>
      </c>
      <c r="Q94">
        <f>SUMIFS($H$2:$H$201,$B$2:$B$201,"&lt;="&amp;B94)</f>
        <v>3099884</v>
      </c>
    </row>
    <row r="95" spans="1:17" x14ac:dyDescent="0.35">
      <c r="A95">
        <v>94</v>
      </c>
      <c r="B95" s="1">
        <v>45670</v>
      </c>
      <c r="C95" t="s">
        <v>17</v>
      </c>
      <c r="D95" t="s">
        <v>18</v>
      </c>
      <c r="E95" t="s">
        <v>29</v>
      </c>
      <c r="F95" t="s">
        <v>68</v>
      </c>
      <c r="G95" t="s">
        <v>23</v>
      </c>
      <c r="H95">
        <v>16731</v>
      </c>
      <c r="I95">
        <v>11214</v>
      </c>
      <c r="J95">
        <f>H95-I95</f>
        <v>5517</v>
      </c>
      <c r="K95" s="6">
        <f>J95/H95</f>
        <v>0.32974717590102204</v>
      </c>
      <c r="L95" t="str">
        <f t="array" ref="L95">_xlfn.IFS(J95&gt;15000,"Excellent",J95&gt;=5000,"Good",J95&lt;5000,"Poor")</f>
        <v>Good</v>
      </c>
      <c r="M95">
        <f t="array" ref="M95">_xlfn.XLOOKUP(G95,' Employee_Salary'!$A$1:A99,' Employee_Salary'!$B$1:B99,FALSE)</f>
        <v>43000</v>
      </c>
      <c r="N95" s="9">
        <f>M95/H95</f>
        <v>2.5700794931564164</v>
      </c>
      <c r="O95" s="9">
        <f>IF(D95="Electronics",H95*5%,IF(D95="Furniture",H95*8%,0))</f>
        <v>836.55000000000007</v>
      </c>
      <c r="P95">
        <f>_xlfn.RANK.EQ(H95,$H$2:$H$201,0)</f>
        <v>99</v>
      </c>
      <c r="Q95">
        <f>SUMIFS($H$2:$H$201,$B$2:$B$201,"&lt;="&amp;B95)</f>
        <v>757644</v>
      </c>
    </row>
    <row r="96" spans="1:17" x14ac:dyDescent="0.35">
      <c r="A96">
        <v>95</v>
      </c>
      <c r="B96" s="1">
        <v>45716</v>
      </c>
      <c r="C96" t="s">
        <v>37</v>
      </c>
      <c r="D96" t="s">
        <v>10</v>
      </c>
      <c r="E96" t="s">
        <v>42</v>
      </c>
      <c r="F96" t="s">
        <v>68</v>
      </c>
      <c r="G96" t="s">
        <v>33</v>
      </c>
      <c r="H96">
        <v>25721</v>
      </c>
      <c r="I96">
        <v>20828</v>
      </c>
      <c r="J96">
        <f>H96-I96</f>
        <v>4893</v>
      </c>
      <c r="K96" s="6">
        <f>J96/H96</f>
        <v>0.19023366121068389</v>
      </c>
      <c r="L96" t="str">
        <f t="array" ref="L96">_xlfn.IFS(J96&gt;15000,"Excellent",J96&gt;=5000,"Good",J96&lt;5000,"Poor")</f>
        <v>Poor</v>
      </c>
      <c r="M96">
        <f t="array" ref="M96">_xlfn.XLOOKUP(G96,' Employee_Salary'!$A$1:A100,' Employee_Salary'!$B$1:B100,FALSE)</f>
        <v>42000</v>
      </c>
      <c r="N96" s="9">
        <f>M96/H96</f>
        <v>1.6329069631818358</v>
      </c>
      <c r="O96" s="9">
        <f>IF(D96="Electronics",H96*5%,IF(D96="Furniture",H96*8%,0))</f>
        <v>2057.6799999999998</v>
      </c>
      <c r="P96">
        <f>_xlfn.RANK.EQ(H96,$H$2:$H$201,0)</f>
        <v>28</v>
      </c>
      <c r="Q96">
        <f>SUMIFS($H$2:$H$201,$B$2:$B$201,"&lt;="&amp;B96)</f>
        <v>3147890</v>
      </c>
    </row>
    <row r="97" spans="1:17" x14ac:dyDescent="0.35">
      <c r="A97">
        <v>96</v>
      </c>
      <c r="B97" s="1">
        <v>45685</v>
      </c>
      <c r="C97" t="s">
        <v>17</v>
      </c>
      <c r="D97" t="s">
        <v>18</v>
      </c>
      <c r="E97" t="s">
        <v>26</v>
      </c>
      <c r="F97" t="s">
        <v>44</v>
      </c>
      <c r="G97" t="s">
        <v>33</v>
      </c>
      <c r="H97">
        <v>12746</v>
      </c>
      <c r="I97">
        <v>9105</v>
      </c>
      <c r="J97">
        <f>H97-I97</f>
        <v>3641</v>
      </c>
      <c r="K97" s="6">
        <f>J97/H97</f>
        <v>0.28565824572414877</v>
      </c>
      <c r="L97" t="str">
        <f t="array" ref="L97">_xlfn.IFS(J97&gt;15000,"Excellent",J97&gt;=5000,"Good",J97&lt;5000,"Poor")</f>
        <v>Poor</v>
      </c>
      <c r="M97">
        <f t="array" ref="M97">_xlfn.XLOOKUP(G97,' Employee_Salary'!$A$1:A101,' Employee_Salary'!$B$1:B101,FALSE)</f>
        <v>42000</v>
      </c>
      <c r="N97" s="9">
        <f>M97/H97</f>
        <v>3.29515142005335</v>
      </c>
      <c r="O97" s="9">
        <f>IF(D97="Electronics",H97*5%,IF(D97="Furniture",H97*8%,0))</f>
        <v>637.30000000000007</v>
      </c>
      <c r="P97">
        <f>_xlfn.RANK.EQ(H97,$H$2:$H$201,0)</f>
        <v>129</v>
      </c>
      <c r="Q97">
        <f>SUMIFS($H$2:$H$201,$B$2:$B$201,"&lt;="&amp;B97)</f>
        <v>1648974</v>
      </c>
    </row>
    <row r="98" spans="1:17" x14ac:dyDescent="0.35">
      <c r="A98">
        <v>97</v>
      </c>
      <c r="B98" s="1">
        <v>45669</v>
      </c>
      <c r="C98" t="s">
        <v>17</v>
      </c>
      <c r="D98" t="s">
        <v>10</v>
      </c>
      <c r="E98" t="s">
        <v>11</v>
      </c>
      <c r="F98" t="s">
        <v>69</v>
      </c>
      <c r="G98" t="s">
        <v>23</v>
      </c>
      <c r="H98">
        <v>17130</v>
      </c>
      <c r="I98">
        <v>12065</v>
      </c>
      <c r="J98">
        <f>H98-I98</f>
        <v>5065</v>
      </c>
      <c r="K98" s="6">
        <f>J98/H98</f>
        <v>0.29568009340338586</v>
      </c>
      <c r="L98" t="str">
        <f t="array" ref="L98">_xlfn.IFS(J98&gt;15000,"Excellent",J98&gt;=5000,"Good",J98&lt;5000,"Poor")</f>
        <v>Good</v>
      </c>
      <c r="M98">
        <f t="array" ref="M98">_xlfn.XLOOKUP(G98,' Employee_Salary'!$A$1:A102,' Employee_Salary'!$B$1:B102,FALSE)</f>
        <v>43000</v>
      </c>
      <c r="N98" s="9">
        <f>M98/H98</f>
        <v>2.5102159953298306</v>
      </c>
      <c r="O98" s="9">
        <f>IF(D98="Electronics",H98*5%,IF(D98="Furniture",H98*8%,0))</f>
        <v>1370.4</v>
      </c>
      <c r="P98">
        <f>_xlfn.RANK.EQ(H98,$H$2:$H$201,0)</f>
        <v>94</v>
      </c>
      <c r="Q98">
        <f>SUMIFS($H$2:$H$201,$B$2:$B$201,"&lt;="&amp;B98)</f>
        <v>665652</v>
      </c>
    </row>
    <row r="99" spans="1:17" x14ac:dyDescent="0.35">
      <c r="A99">
        <v>98</v>
      </c>
      <c r="B99" s="1">
        <v>45707</v>
      </c>
      <c r="C99" t="s">
        <v>37</v>
      </c>
      <c r="D99" t="s">
        <v>10</v>
      </c>
      <c r="E99" t="s">
        <v>42</v>
      </c>
      <c r="F99" t="s">
        <v>52</v>
      </c>
      <c r="G99" t="s">
        <v>33</v>
      </c>
      <c r="H99">
        <v>19263</v>
      </c>
      <c r="I99">
        <v>13395</v>
      </c>
      <c r="J99">
        <f>H99-I99</f>
        <v>5868</v>
      </c>
      <c r="K99" s="6">
        <f>J99/H99</f>
        <v>0.30462544774957173</v>
      </c>
      <c r="L99" t="str">
        <f t="array" ref="L99">_xlfn.IFS(J99&gt;15000,"Excellent",J99&gt;=5000,"Good",J99&lt;5000,"Poor")</f>
        <v>Good</v>
      </c>
      <c r="M99">
        <f t="array" ref="M99">_xlfn.XLOOKUP(G99,' Employee_Salary'!$A$1:A103,' Employee_Salary'!$B$1:B103,FALSE)</f>
        <v>42000</v>
      </c>
      <c r="N99" s="9">
        <f>M99/H99</f>
        <v>2.1803457405388569</v>
      </c>
      <c r="O99" s="9">
        <f>IF(D99="Electronics",H99*5%,IF(D99="Furniture",H99*8%,0))</f>
        <v>1541.04</v>
      </c>
      <c r="P99">
        <f>_xlfn.RANK.EQ(H99,$H$2:$H$201,0)</f>
        <v>74</v>
      </c>
      <c r="Q99">
        <f>SUMIFS($H$2:$H$201,$B$2:$B$201,"&lt;="&amp;B99)</f>
        <v>2808628</v>
      </c>
    </row>
    <row r="100" spans="1:17" x14ac:dyDescent="0.35">
      <c r="A100">
        <v>99</v>
      </c>
      <c r="B100" s="1">
        <v>45710</v>
      </c>
      <c r="C100" t="s">
        <v>37</v>
      </c>
      <c r="D100" t="s">
        <v>18</v>
      </c>
      <c r="E100" t="s">
        <v>32</v>
      </c>
      <c r="F100" t="s">
        <v>70</v>
      </c>
      <c r="G100" t="s">
        <v>28</v>
      </c>
      <c r="H100">
        <v>19662</v>
      </c>
      <c r="I100">
        <v>14327</v>
      </c>
      <c r="J100">
        <f>H100-I100</f>
        <v>5335</v>
      </c>
      <c r="K100" s="6">
        <f>J100/H100</f>
        <v>0.27133557115247686</v>
      </c>
      <c r="L100" t="str">
        <f t="array" ref="L100">_xlfn.IFS(J100&gt;15000,"Excellent",J100&gt;=5000,"Good",J100&lt;5000,"Poor")</f>
        <v>Good</v>
      </c>
      <c r="M100">
        <f t="array" ref="M100">_xlfn.XLOOKUP(G100,' Employee_Salary'!$A$1:A104,' Employee_Salary'!$B$1:B104,FALSE)</f>
        <v>45000</v>
      </c>
      <c r="N100" s="9">
        <f>M100/H100</f>
        <v>2.2886786695148</v>
      </c>
      <c r="O100" s="9">
        <f>IF(D100="Electronics",H100*5%,IF(D100="Furniture",H100*8%,0))</f>
        <v>983.1</v>
      </c>
      <c r="P100">
        <f>_xlfn.RANK.EQ(H100,$H$2:$H$201,0)</f>
        <v>69</v>
      </c>
      <c r="Q100">
        <f>SUMIFS($H$2:$H$201,$B$2:$B$201,"&lt;="&amp;B100)</f>
        <v>2944836</v>
      </c>
    </row>
    <row r="101" spans="1:17" x14ac:dyDescent="0.35">
      <c r="A101">
        <v>100</v>
      </c>
      <c r="B101" s="1">
        <v>45709</v>
      </c>
      <c r="C101" t="s">
        <v>17</v>
      </c>
      <c r="D101" t="s">
        <v>10</v>
      </c>
      <c r="E101" t="s">
        <v>21</v>
      </c>
      <c r="F101" t="s">
        <v>47</v>
      </c>
      <c r="G101" t="s">
        <v>28</v>
      </c>
      <c r="H101">
        <v>25528</v>
      </c>
      <c r="I101">
        <v>22200</v>
      </c>
      <c r="J101">
        <f>H101-I101</f>
        <v>3328</v>
      </c>
      <c r="K101" s="6">
        <f>J101/H101</f>
        <v>0.13036665622062049</v>
      </c>
      <c r="L101" t="str">
        <f t="array" ref="L101">_xlfn.IFS(J101&gt;15000,"Excellent",J101&gt;=5000,"Good",J101&lt;5000,"Poor")</f>
        <v>Poor</v>
      </c>
      <c r="M101">
        <f t="array" ref="M101">_xlfn.XLOOKUP(G101,' Employee_Salary'!$A$1:A105,' Employee_Salary'!$B$1:B105,FALSE)</f>
        <v>45000</v>
      </c>
      <c r="N101" s="9">
        <f>M101/H101</f>
        <v>1.7627702914446881</v>
      </c>
      <c r="O101" s="9">
        <f>IF(D101="Electronics",H101*5%,IF(D101="Furniture",H101*8%,0))</f>
        <v>2042.24</v>
      </c>
      <c r="P101">
        <f>_xlfn.RANK.EQ(H101,$H$2:$H$201,0)</f>
        <v>29</v>
      </c>
      <c r="Q101">
        <f>SUMIFS($H$2:$H$201,$B$2:$B$201,"&lt;="&amp;B101)</f>
        <v>2860992</v>
      </c>
    </row>
    <row r="102" spans="1:17" x14ac:dyDescent="0.35">
      <c r="A102">
        <v>101</v>
      </c>
      <c r="B102" s="1">
        <v>45694</v>
      </c>
      <c r="C102" t="s">
        <v>9</v>
      </c>
      <c r="D102" t="s">
        <v>10</v>
      </c>
      <c r="E102" t="s">
        <v>42</v>
      </c>
      <c r="F102" t="s">
        <v>68</v>
      </c>
      <c r="G102" t="s">
        <v>35</v>
      </c>
      <c r="H102">
        <v>5348</v>
      </c>
      <c r="I102">
        <v>3731</v>
      </c>
      <c r="J102">
        <f>H102-I102</f>
        <v>1617</v>
      </c>
      <c r="K102" s="6">
        <f>J102/H102</f>
        <v>0.30235602094240838</v>
      </c>
      <c r="L102" t="str">
        <f t="array" ref="L102">_xlfn.IFS(J102&gt;15000,"Excellent",J102&gt;=5000,"Good",J102&lt;5000,"Poor")</f>
        <v>Poor</v>
      </c>
      <c r="M102">
        <f t="array" ref="M102">_xlfn.XLOOKUP(G102,' Employee_Salary'!$A$1:A106,' Employee_Salary'!$B$1:B106,FALSE)</f>
        <v>40000</v>
      </c>
      <c r="N102" s="9">
        <f>M102/H102</f>
        <v>7.4794315632011967</v>
      </c>
      <c r="O102" s="9">
        <f>IF(D102="Electronics",H102*5%,IF(D102="Furniture",H102*8%,0))</f>
        <v>427.84000000000003</v>
      </c>
      <c r="P102">
        <f>_xlfn.RANK.EQ(H102,$H$2:$H$201,0)</f>
        <v>180</v>
      </c>
      <c r="Q102">
        <f>SUMIFS($H$2:$H$201,$B$2:$B$201,"&lt;="&amp;B102)</f>
        <v>1993799</v>
      </c>
    </row>
    <row r="103" spans="1:17" x14ac:dyDescent="0.35">
      <c r="A103">
        <v>102</v>
      </c>
      <c r="B103" s="1">
        <v>45716</v>
      </c>
      <c r="C103" t="s">
        <v>37</v>
      </c>
      <c r="D103" t="s">
        <v>18</v>
      </c>
      <c r="E103" t="s">
        <v>32</v>
      </c>
      <c r="F103" t="s">
        <v>51</v>
      </c>
      <c r="G103" t="s">
        <v>35</v>
      </c>
      <c r="H103">
        <v>22285</v>
      </c>
      <c r="I103">
        <v>14394</v>
      </c>
      <c r="J103">
        <f>H103-I103</f>
        <v>7891</v>
      </c>
      <c r="K103" s="6">
        <f>J103/H103</f>
        <v>0.3540946825218757</v>
      </c>
      <c r="L103" t="str">
        <f t="array" ref="L103">_xlfn.IFS(J103&gt;15000,"Excellent",J103&gt;=5000,"Good",J103&lt;5000,"Poor")</f>
        <v>Good</v>
      </c>
      <c r="M103">
        <f t="array" ref="M103">_xlfn.XLOOKUP(G103,' Employee_Salary'!$A$1:A107,' Employee_Salary'!$B$1:B107,FALSE)</f>
        <v>40000</v>
      </c>
      <c r="N103" s="9">
        <f>M103/H103</f>
        <v>1.7949293246578415</v>
      </c>
      <c r="O103" s="9">
        <f>IF(D103="Electronics",H103*5%,IF(D103="Furniture",H103*8%,0))</f>
        <v>1114.25</v>
      </c>
      <c r="P103">
        <f>_xlfn.RANK.EQ(H103,$H$2:$H$201,0)</f>
        <v>52</v>
      </c>
      <c r="Q103">
        <f>SUMIFS($H$2:$H$201,$B$2:$B$201,"&lt;="&amp;B103)</f>
        <v>3147890</v>
      </c>
    </row>
    <row r="104" spans="1:17" x14ac:dyDescent="0.35">
      <c r="A104">
        <v>103</v>
      </c>
      <c r="B104" s="1">
        <v>45661</v>
      </c>
      <c r="C104" t="s">
        <v>17</v>
      </c>
      <c r="D104" t="s">
        <v>10</v>
      </c>
      <c r="E104" t="s">
        <v>11</v>
      </c>
      <c r="F104" t="s">
        <v>71</v>
      </c>
      <c r="G104" t="s">
        <v>33</v>
      </c>
      <c r="H104">
        <v>17832</v>
      </c>
      <c r="I104">
        <v>14995</v>
      </c>
      <c r="J104">
        <f>H104-I104</f>
        <v>2837</v>
      </c>
      <c r="K104" s="6">
        <f>J104/H104</f>
        <v>0.15909600717810676</v>
      </c>
      <c r="L104" t="str">
        <f t="array" ref="L104">_xlfn.IFS(J104&gt;15000,"Excellent",J104&gt;=5000,"Good",J104&lt;5000,"Poor")</f>
        <v>Poor</v>
      </c>
      <c r="M104">
        <f t="array" ref="M104">_xlfn.XLOOKUP(G104,' Employee_Salary'!$A$1:A108,' Employee_Salary'!$B$1:B108,FALSE)</f>
        <v>42000</v>
      </c>
      <c r="N104" s="9">
        <f>M104/H104</f>
        <v>2.3553162853297445</v>
      </c>
      <c r="O104" s="9">
        <f>IF(D104="Electronics",H104*5%,IF(D104="Furniture",H104*8%,0))</f>
        <v>1426.56</v>
      </c>
      <c r="P104">
        <f>_xlfn.RANK.EQ(H104,$H$2:$H$201,0)</f>
        <v>84</v>
      </c>
      <c r="Q104">
        <f>SUMIFS($H$2:$H$201,$B$2:$B$201,"&lt;="&amp;B104)</f>
        <v>165400</v>
      </c>
    </row>
    <row r="105" spans="1:17" x14ac:dyDescent="0.35">
      <c r="A105">
        <v>104</v>
      </c>
      <c r="B105" s="1">
        <v>45708</v>
      </c>
      <c r="C105" t="s">
        <v>17</v>
      </c>
      <c r="D105" t="s">
        <v>18</v>
      </c>
      <c r="E105" t="s">
        <v>32</v>
      </c>
      <c r="F105" t="s">
        <v>55</v>
      </c>
      <c r="G105" t="s">
        <v>23</v>
      </c>
      <c r="H105">
        <v>18659</v>
      </c>
      <c r="I105">
        <v>11399</v>
      </c>
      <c r="J105">
        <f>H105-I105</f>
        <v>7260</v>
      </c>
      <c r="K105" s="6">
        <f>J105/H105</f>
        <v>0.38908837558282866</v>
      </c>
      <c r="L105" t="str">
        <f t="array" ref="L105">_xlfn.IFS(J105&gt;15000,"Excellent",J105&gt;=5000,"Good",J105&lt;5000,"Poor")</f>
        <v>Good</v>
      </c>
      <c r="M105">
        <f t="array" ref="M105">_xlfn.XLOOKUP(G105,' Employee_Salary'!$A$1:A109,' Employee_Salary'!$B$1:B109,FALSE)</f>
        <v>43000</v>
      </c>
      <c r="N105" s="9">
        <f>M105/H105</f>
        <v>2.3045179270057345</v>
      </c>
      <c r="O105" s="9">
        <f>IF(D105="Electronics",H105*5%,IF(D105="Furniture",H105*8%,0))</f>
        <v>932.95</v>
      </c>
      <c r="P105">
        <f>_xlfn.RANK.EQ(H105,$H$2:$H$201,0)</f>
        <v>76</v>
      </c>
      <c r="Q105">
        <f>SUMIFS($H$2:$H$201,$B$2:$B$201,"&lt;="&amp;B105)</f>
        <v>2827287</v>
      </c>
    </row>
    <row r="106" spans="1:17" x14ac:dyDescent="0.35">
      <c r="A106">
        <v>105</v>
      </c>
      <c r="B106" s="1">
        <v>45680</v>
      </c>
      <c r="C106" t="s">
        <v>17</v>
      </c>
      <c r="D106" t="s">
        <v>10</v>
      </c>
      <c r="E106" t="s">
        <v>15</v>
      </c>
      <c r="F106" t="s">
        <v>36</v>
      </c>
      <c r="G106" t="s">
        <v>23</v>
      </c>
      <c r="H106">
        <v>8814</v>
      </c>
      <c r="I106">
        <v>7395</v>
      </c>
      <c r="J106">
        <f>H106-I106</f>
        <v>1419</v>
      </c>
      <c r="K106" s="6">
        <f>J106/H106</f>
        <v>0.16099387338325391</v>
      </c>
      <c r="L106" t="str">
        <f t="array" ref="L106">_xlfn.IFS(J106&gt;15000,"Excellent",J106&gt;=5000,"Good",J106&lt;5000,"Poor")</f>
        <v>Poor</v>
      </c>
      <c r="M106">
        <f t="array" ref="M106">_xlfn.XLOOKUP(G106,' Employee_Salary'!$A$1:A110,' Employee_Salary'!$B$1:B110,FALSE)</f>
        <v>43000</v>
      </c>
      <c r="N106" s="9">
        <f>M106/H106</f>
        <v>4.8786022237349673</v>
      </c>
      <c r="O106" s="9">
        <f>IF(D106="Electronics",H106*5%,IF(D106="Furniture",H106*8%,0))</f>
        <v>705.12</v>
      </c>
      <c r="P106">
        <f>_xlfn.RANK.EQ(H106,$H$2:$H$201,0)</f>
        <v>158</v>
      </c>
      <c r="Q106">
        <f>SUMIFS($H$2:$H$201,$B$2:$B$201,"&lt;="&amp;B106)</f>
        <v>1349916</v>
      </c>
    </row>
    <row r="107" spans="1:17" x14ac:dyDescent="0.35">
      <c r="A107">
        <v>106</v>
      </c>
      <c r="B107" s="1">
        <v>45706</v>
      </c>
      <c r="C107" t="s">
        <v>37</v>
      </c>
      <c r="D107" t="s">
        <v>10</v>
      </c>
      <c r="E107" t="s">
        <v>15</v>
      </c>
      <c r="F107" t="s">
        <v>53</v>
      </c>
      <c r="G107" t="s">
        <v>28</v>
      </c>
      <c r="H107">
        <v>18540</v>
      </c>
      <c r="I107">
        <v>13865</v>
      </c>
      <c r="J107">
        <f>H107-I107</f>
        <v>4675</v>
      </c>
      <c r="K107" s="6">
        <f>J107/H107</f>
        <v>0.25215749730312836</v>
      </c>
      <c r="L107" t="str">
        <f t="array" ref="L107">_xlfn.IFS(J107&gt;15000,"Excellent",J107&gt;=5000,"Good",J107&lt;5000,"Poor")</f>
        <v>Poor</v>
      </c>
      <c r="M107">
        <f t="array" ref="M107">_xlfn.XLOOKUP(G107,' Employee_Salary'!$A$1:A111,' Employee_Salary'!$B$1:B111,FALSE)</f>
        <v>45000</v>
      </c>
      <c r="N107" s="9">
        <f>M107/H107</f>
        <v>2.4271844660194173</v>
      </c>
      <c r="O107" s="9">
        <f>IF(D107="Electronics",H107*5%,IF(D107="Furniture",H107*8%,0))</f>
        <v>1483.2</v>
      </c>
      <c r="P107">
        <f>_xlfn.RANK.EQ(H107,$H$2:$H$201,0)</f>
        <v>78</v>
      </c>
      <c r="Q107">
        <f>SUMIFS($H$2:$H$201,$B$2:$B$201,"&lt;="&amp;B107)</f>
        <v>2761759</v>
      </c>
    </row>
    <row r="108" spans="1:17" x14ac:dyDescent="0.35">
      <c r="A108">
        <v>107</v>
      </c>
      <c r="B108" s="1">
        <v>45681</v>
      </c>
      <c r="C108" t="s">
        <v>37</v>
      </c>
      <c r="D108" t="s">
        <v>18</v>
      </c>
      <c r="E108" t="s">
        <v>26</v>
      </c>
      <c r="F108" t="s">
        <v>46</v>
      </c>
      <c r="G108" t="s">
        <v>13</v>
      </c>
      <c r="H108">
        <v>11682</v>
      </c>
      <c r="I108">
        <v>7094</v>
      </c>
      <c r="J108">
        <f>H108-I108</f>
        <v>4588</v>
      </c>
      <c r="K108" s="6">
        <f>J108/H108</f>
        <v>0.39274096901215544</v>
      </c>
      <c r="L108" t="str">
        <f t="array" ref="L108">_xlfn.IFS(J108&gt;15000,"Excellent",J108&gt;=5000,"Good",J108&lt;5000,"Poor")</f>
        <v>Poor</v>
      </c>
      <c r="M108">
        <f t="array" ref="M108">_xlfn.XLOOKUP(G108,' Employee_Salary'!$A$1:A112,' Employee_Salary'!$B$1:B112,FALSE)</f>
        <v>47000</v>
      </c>
      <c r="N108" s="9">
        <f>M108/H108</f>
        <v>4.0232836843006332</v>
      </c>
      <c r="O108" s="9">
        <f>IF(D108="Electronics",H108*5%,IF(D108="Furniture",H108*8%,0))</f>
        <v>584.1</v>
      </c>
      <c r="P108">
        <f>_xlfn.RANK.EQ(H108,$H$2:$H$201,0)</f>
        <v>143</v>
      </c>
      <c r="Q108">
        <f>SUMIFS($H$2:$H$201,$B$2:$B$201,"&lt;="&amp;B108)</f>
        <v>1463299</v>
      </c>
    </row>
    <row r="109" spans="1:17" x14ac:dyDescent="0.35">
      <c r="A109">
        <v>108</v>
      </c>
      <c r="B109" s="1">
        <v>45679</v>
      </c>
      <c r="C109" t="s">
        <v>14</v>
      </c>
      <c r="D109" t="s">
        <v>18</v>
      </c>
      <c r="E109" t="s">
        <v>19</v>
      </c>
      <c r="F109" t="s">
        <v>40</v>
      </c>
      <c r="G109" t="s">
        <v>13</v>
      </c>
      <c r="H109">
        <v>28130</v>
      </c>
      <c r="I109">
        <v>17510</v>
      </c>
      <c r="J109">
        <f>H109-I109</f>
        <v>10620</v>
      </c>
      <c r="K109" s="6">
        <f>J109/H109</f>
        <v>0.37753288304301458</v>
      </c>
      <c r="L109" t="str">
        <f t="array" ref="L109">_xlfn.IFS(J109&gt;15000,"Excellent",J109&gt;=5000,"Good",J109&lt;5000,"Poor")</f>
        <v>Good</v>
      </c>
      <c r="M109">
        <f t="array" ref="M109">_xlfn.XLOOKUP(G109,' Employee_Salary'!$A$1:A113,' Employee_Salary'!$B$1:B113,FALSE)</f>
        <v>47000</v>
      </c>
      <c r="N109" s="9">
        <f>M109/H109</f>
        <v>1.6708140774973339</v>
      </c>
      <c r="O109" s="9">
        <f>IF(D109="Electronics",H109*5%,IF(D109="Furniture",H109*8%,0))</f>
        <v>1406.5</v>
      </c>
      <c r="P109">
        <f>_xlfn.RANK.EQ(H109,$H$2:$H$201,0)</f>
        <v>10</v>
      </c>
      <c r="Q109">
        <f>SUMIFS($H$2:$H$201,$B$2:$B$201,"&lt;="&amp;B109)</f>
        <v>1247618</v>
      </c>
    </row>
    <row r="110" spans="1:17" x14ac:dyDescent="0.35">
      <c r="A110">
        <v>109</v>
      </c>
      <c r="B110" s="1">
        <v>45677</v>
      </c>
      <c r="C110" t="s">
        <v>17</v>
      </c>
      <c r="D110" t="s">
        <v>18</v>
      </c>
      <c r="E110" t="s">
        <v>26</v>
      </c>
      <c r="F110" t="s">
        <v>44</v>
      </c>
      <c r="G110" t="s">
        <v>28</v>
      </c>
      <c r="H110">
        <v>12219</v>
      </c>
      <c r="I110">
        <v>9328</v>
      </c>
      <c r="J110">
        <f>H110-I110</f>
        <v>2891</v>
      </c>
      <c r="K110" s="6">
        <f>J110/H110</f>
        <v>0.2365987396677306</v>
      </c>
      <c r="L110" t="str">
        <f t="array" ref="L110">_xlfn.IFS(J110&gt;15000,"Excellent",J110&gt;=5000,"Good",J110&lt;5000,"Poor")</f>
        <v>Poor</v>
      </c>
      <c r="M110">
        <f t="array" ref="M110">_xlfn.XLOOKUP(G110,' Employee_Salary'!$A$1:A114,' Employee_Salary'!$B$1:B114,FALSE)</f>
        <v>45000</v>
      </c>
      <c r="N110" s="9">
        <f>M110/H110</f>
        <v>3.6827890989442671</v>
      </c>
      <c r="O110" s="9">
        <f>IF(D110="Electronics",H110*5%,IF(D110="Furniture",H110*8%,0))</f>
        <v>610.95000000000005</v>
      </c>
      <c r="P110">
        <f>_xlfn.RANK.EQ(H110,$H$2:$H$201,0)</f>
        <v>139</v>
      </c>
      <c r="Q110">
        <f>SUMIFS($H$2:$H$201,$B$2:$B$201,"&lt;="&amp;B110)</f>
        <v>1137341</v>
      </c>
    </row>
    <row r="111" spans="1:17" x14ac:dyDescent="0.35">
      <c r="A111">
        <v>110</v>
      </c>
      <c r="B111" s="1">
        <v>45696</v>
      </c>
      <c r="C111" t="s">
        <v>14</v>
      </c>
      <c r="D111" t="s">
        <v>18</v>
      </c>
      <c r="E111" t="s">
        <v>26</v>
      </c>
      <c r="F111" t="s">
        <v>62</v>
      </c>
      <c r="G111" t="s">
        <v>28</v>
      </c>
      <c r="H111">
        <v>13169</v>
      </c>
      <c r="I111">
        <v>8888</v>
      </c>
      <c r="J111">
        <f>H111-I111</f>
        <v>4281</v>
      </c>
      <c r="K111" s="6">
        <f>J111/H111</f>
        <v>0.32508163110334876</v>
      </c>
      <c r="L111" t="str">
        <f t="array" ref="L111">_xlfn.IFS(J111&gt;15000,"Excellent",J111&gt;=5000,"Good",J111&lt;5000,"Poor")</f>
        <v>Poor</v>
      </c>
      <c r="M111">
        <f t="array" ref="M111">_xlfn.XLOOKUP(G111,' Employee_Salary'!$A$1:A115,' Employee_Salary'!$B$1:B115,FALSE)</f>
        <v>45000</v>
      </c>
      <c r="N111" s="9">
        <f>M111/H111</f>
        <v>3.4171159541347103</v>
      </c>
      <c r="O111" s="9">
        <f>IF(D111="Electronics",H111*5%,IF(D111="Furniture",H111*8%,0))</f>
        <v>658.45</v>
      </c>
      <c r="P111">
        <f>_xlfn.RANK.EQ(H111,$H$2:$H$201,0)</f>
        <v>122</v>
      </c>
      <c r="Q111">
        <f>SUMIFS($H$2:$H$201,$B$2:$B$201,"&lt;="&amp;B111)</f>
        <v>2074177</v>
      </c>
    </row>
    <row r="112" spans="1:17" x14ac:dyDescent="0.35">
      <c r="A112">
        <v>111</v>
      </c>
      <c r="B112" s="1">
        <v>45699</v>
      </c>
      <c r="C112" t="s">
        <v>37</v>
      </c>
      <c r="D112" t="s">
        <v>10</v>
      </c>
      <c r="E112" t="s">
        <v>15</v>
      </c>
      <c r="F112" t="s">
        <v>31</v>
      </c>
      <c r="G112" t="s">
        <v>33</v>
      </c>
      <c r="H112">
        <v>3614</v>
      </c>
      <c r="I112">
        <v>3028</v>
      </c>
      <c r="J112">
        <f>H112-I112</f>
        <v>586</v>
      </c>
      <c r="K112" s="6">
        <f>J112/H112</f>
        <v>0.16214720531267293</v>
      </c>
      <c r="L112" t="str">
        <f t="array" ref="L112">_xlfn.IFS(J112&gt;15000,"Excellent",J112&gt;=5000,"Good",J112&lt;5000,"Poor")</f>
        <v>Poor</v>
      </c>
      <c r="M112">
        <f t="array" ref="M112">_xlfn.XLOOKUP(G112,' Employee_Salary'!$A$1:A116,' Employee_Salary'!$B$1:B116,FALSE)</f>
        <v>42000</v>
      </c>
      <c r="N112" s="9">
        <f>M112/H112</f>
        <v>11.621472053126729</v>
      </c>
      <c r="O112" s="9">
        <f>IF(D112="Electronics",H112*5%,IF(D112="Furniture",H112*8%,0))</f>
        <v>289.12</v>
      </c>
      <c r="P112">
        <f>_xlfn.RANK.EQ(H112,$H$2:$H$201,0)</f>
        <v>197</v>
      </c>
      <c r="Q112">
        <f>SUMIFS($H$2:$H$201,$B$2:$B$201,"&lt;="&amp;B112)</f>
        <v>2264035</v>
      </c>
    </row>
    <row r="113" spans="1:17" x14ac:dyDescent="0.35">
      <c r="A113">
        <v>112</v>
      </c>
      <c r="B113" s="1">
        <v>45698</v>
      </c>
      <c r="C113" t="s">
        <v>37</v>
      </c>
      <c r="D113" t="s">
        <v>18</v>
      </c>
      <c r="E113" t="s">
        <v>26</v>
      </c>
      <c r="F113" t="s">
        <v>46</v>
      </c>
      <c r="G113" t="s">
        <v>28</v>
      </c>
      <c r="H113">
        <v>27189</v>
      </c>
      <c r="I113">
        <v>23741</v>
      </c>
      <c r="J113">
        <f>H113-I113</f>
        <v>3448</v>
      </c>
      <c r="K113" s="6">
        <f>J113/H113</f>
        <v>0.12681599176137409</v>
      </c>
      <c r="L113" t="str">
        <f t="array" ref="L113">_xlfn.IFS(J113&gt;15000,"Excellent",J113&gt;=5000,"Good",J113&lt;5000,"Poor")</f>
        <v>Poor</v>
      </c>
      <c r="M113">
        <f t="array" ref="M113">_xlfn.XLOOKUP(G113,' Employee_Salary'!$A$1:A117,' Employee_Salary'!$B$1:B117,FALSE)</f>
        <v>45000</v>
      </c>
      <c r="N113" s="9">
        <f>M113/H113</f>
        <v>1.6550810989738498</v>
      </c>
      <c r="O113" s="9">
        <f>IF(D113="Electronics",H113*5%,IF(D113="Furniture",H113*8%,0))</f>
        <v>1359.45</v>
      </c>
      <c r="P113">
        <f>_xlfn.RANK.EQ(H113,$H$2:$H$201,0)</f>
        <v>20</v>
      </c>
      <c r="Q113">
        <f>SUMIFS($H$2:$H$201,$B$2:$B$201,"&lt;="&amp;B113)</f>
        <v>2208504</v>
      </c>
    </row>
    <row r="114" spans="1:17" x14ac:dyDescent="0.35">
      <c r="A114">
        <v>113</v>
      </c>
      <c r="B114" s="1">
        <v>45673</v>
      </c>
      <c r="C114" t="s">
        <v>17</v>
      </c>
      <c r="D114" t="s">
        <v>10</v>
      </c>
      <c r="E114" t="s">
        <v>15</v>
      </c>
      <c r="F114" t="s">
        <v>70</v>
      </c>
      <c r="G114" t="s">
        <v>23</v>
      </c>
      <c r="H114">
        <v>10537</v>
      </c>
      <c r="I114">
        <v>8770</v>
      </c>
      <c r="J114">
        <f>H114-I114</f>
        <v>1767</v>
      </c>
      <c r="K114" s="6">
        <f>J114/H114</f>
        <v>0.1676947897883648</v>
      </c>
      <c r="L114" t="str">
        <f t="array" ref="L114">_xlfn.IFS(J114&gt;15000,"Excellent",J114&gt;=5000,"Good",J114&lt;5000,"Poor")</f>
        <v>Poor</v>
      </c>
      <c r="M114">
        <f t="array" ref="M114">_xlfn.XLOOKUP(G114,' Employee_Salary'!$A$1:A118,' Employee_Salary'!$B$1:B118,FALSE)</f>
        <v>43000</v>
      </c>
      <c r="N114" s="9">
        <f>M114/H114</f>
        <v>4.0808579292018603</v>
      </c>
      <c r="O114" s="9">
        <f>IF(D114="Electronics",H114*5%,IF(D114="Furniture",H114*8%,0))</f>
        <v>842.96</v>
      </c>
      <c r="P114">
        <f>_xlfn.RANK.EQ(H114,$H$2:$H$201,0)</f>
        <v>147</v>
      </c>
      <c r="Q114">
        <f>SUMIFS($H$2:$H$201,$B$2:$B$201,"&lt;="&amp;B114)</f>
        <v>933361</v>
      </c>
    </row>
    <row r="115" spans="1:17" x14ac:dyDescent="0.35">
      <c r="A115">
        <v>114</v>
      </c>
      <c r="B115" s="1">
        <v>45673</v>
      </c>
      <c r="C115" t="s">
        <v>9</v>
      </c>
      <c r="D115" t="s">
        <v>18</v>
      </c>
      <c r="E115" t="s">
        <v>26</v>
      </c>
      <c r="F115" t="s">
        <v>68</v>
      </c>
      <c r="G115" t="s">
        <v>13</v>
      </c>
      <c r="H115">
        <v>7848</v>
      </c>
      <c r="I115">
        <v>4969</v>
      </c>
      <c r="J115">
        <f>H115-I115</f>
        <v>2879</v>
      </c>
      <c r="K115" s="6">
        <f>J115/H115</f>
        <v>0.36684505606523954</v>
      </c>
      <c r="L115" t="str">
        <f t="array" ref="L115">_xlfn.IFS(J115&gt;15000,"Excellent",J115&gt;=5000,"Good",J115&lt;5000,"Poor")</f>
        <v>Poor</v>
      </c>
      <c r="M115">
        <f t="array" ref="M115">_xlfn.XLOOKUP(G115,' Employee_Salary'!$A$1:A119,' Employee_Salary'!$B$1:B119,FALSE)</f>
        <v>47000</v>
      </c>
      <c r="N115" s="9">
        <f>M115/H115</f>
        <v>5.9887869520897041</v>
      </c>
      <c r="O115" s="9">
        <f>IF(D115="Electronics",H115*5%,IF(D115="Furniture",H115*8%,0))</f>
        <v>392.40000000000003</v>
      </c>
      <c r="P115">
        <f>_xlfn.RANK.EQ(H115,$H$2:$H$201,0)</f>
        <v>165</v>
      </c>
      <c r="Q115">
        <f>SUMIFS($H$2:$H$201,$B$2:$B$201,"&lt;="&amp;B115)</f>
        <v>933361</v>
      </c>
    </row>
    <row r="116" spans="1:17" x14ac:dyDescent="0.35">
      <c r="A116">
        <v>115</v>
      </c>
      <c r="B116" s="1">
        <v>45697</v>
      </c>
      <c r="C116" t="s">
        <v>17</v>
      </c>
      <c r="D116" t="s">
        <v>10</v>
      </c>
      <c r="E116" t="s">
        <v>15</v>
      </c>
      <c r="F116" t="s">
        <v>34</v>
      </c>
      <c r="G116" t="s">
        <v>28</v>
      </c>
      <c r="H116">
        <v>27755</v>
      </c>
      <c r="I116">
        <v>22304</v>
      </c>
      <c r="J116">
        <f>H116-I116</f>
        <v>5451</v>
      </c>
      <c r="K116" s="6">
        <f>J116/H116</f>
        <v>0.19639704557737345</v>
      </c>
      <c r="L116" t="str">
        <f t="array" ref="L116">_xlfn.IFS(J116&gt;15000,"Excellent",J116&gt;=5000,"Good",J116&lt;5000,"Poor")</f>
        <v>Good</v>
      </c>
      <c r="M116">
        <f t="array" ref="M116">_xlfn.XLOOKUP(G116,' Employee_Salary'!$A$1:A120,' Employee_Salary'!$B$1:B120,FALSE)</f>
        <v>45000</v>
      </c>
      <c r="N116" s="9">
        <f>M116/H116</f>
        <v>1.6213294901819493</v>
      </c>
      <c r="O116" s="9">
        <f>IF(D116="Electronics",H116*5%,IF(D116="Furniture",H116*8%,0))</f>
        <v>2220.4</v>
      </c>
      <c r="P116">
        <f>_xlfn.RANK.EQ(H116,$H$2:$H$201,0)</f>
        <v>16</v>
      </c>
      <c r="Q116">
        <f>SUMIFS($H$2:$H$201,$B$2:$B$201,"&lt;="&amp;B116)</f>
        <v>2181315</v>
      </c>
    </row>
    <row r="117" spans="1:17" x14ac:dyDescent="0.35">
      <c r="A117">
        <v>116</v>
      </c>
      <c r="B117" s="1">
        <v>45663</v>
      </c>
      <c r="C117" t="s">
        <v>37</v>
      </c>
      <c r="D117" t="s">
        <v>18</v>
      </c>
      <c r="E117" t="s">
        <v>26</v>
      </c>
      <c r="F117" t="s">
        <v>53</v>
      </c>
      <c r="G117" t="s">
        <v>35</v>
      </c>
      <c r="H117">
        <v>4181</v>
      </c>
      <c r="I117">
        <v>2556</v>
      </c>
      <c r="J117">
        <f>H117-I117</f>
        <v>1625</v>
      </c>
      <c r="K117" s="6">
        <f>J117/H117</f>
        <v>0.38866299928246834</v>
      </c>
      <c r="L117" t="str">
        <f t="array" ref="L117">_xlfn.IFS(J117&gt;15000,"Excellent",J117&gt;=5000,"Good",J117&lt;5000,"Poor")</f>
        <v>Poor</v>
      </c>
      <c r="M117">
        <f t="array" ref="M117">_xlfn.XLOOKUP(G117,' Employee_Salary'!$A$1:A121,' Employee_Salary'!$B$1:B121,FALSE)</f>
        <v>40000</v>
      </c>
      <c r="N117" s="9">
        <f>M117/H117</f>
        <v>9.5670892131069127</v>
      </c>
      <c r="O117" s="9">
        <f>IF(D117="Electronics",H117*5%,IF(D117="Furniture",H117*8%,0))</f>
        <v>209.05</v>
      </c>
      <c r="P117">
        <f>_xlfn.RANK.EQ(H117,$H$2:$H$201,0)</f>
        <v>193</v>
      </c>
      <c r="Q117">
        <f>SUMIFS($H$2:$H$201,$B$2:$B$201,"&lt;="&amp;B117)</f>
        <v>314278</v>
      </c>
    </row>
    <row r="118" spans="1:17" x14ac:dyDescent="0.35">
      <c r="A118">
        <v>117</v>
      </c>
      <c r="B118" s="1">
        <v>45695</v>
      </c>
      <c r="C118" t="s">
        <v>9</v>
      </c>
      <c r="D118" t="s">
        <v>10</v>
      </c>
      <c r="E118" t="s">
        <v>21</v>
      </c>
      <c r="F118" t="s">
        <v>31</v>
      </c>
      <c r="G118" t="s">
        <v>28</v>
      </c>
      <c r="H118">
        <v>8389</v>
      </c>
      <c r="I118">
        <v>6532</v>
      </c>
      <c r="J118">
        <f>H118-I118</f>
        <v>1857</v>
      </c>
      <c r="K118" s="6">
        <f>J118/H118</f>
        <v>0.22136130647276195</v>
      </c>
      <c r="L118" t="str">
        <f t="array" ref="L118">_xlfn.IFS(J118&gt;15000,"Excellent",J118&gt;=5000,"Good",J118&lt;5000,"Poor")</f>
        <v>Poor</v>
      </c>
      <c r="M118">
        <f t="array" ref="M118">_xlfn.XLOOKUP(G118,' Employee_Salary'!$A$1:A122,' Employee_Salary'!$B$1:B122,FALSE)</f>
        <v>45000</v>
      </c>
      <c r="N118" s="9">
        <f>M118/H118</f>
        <v>5.3641673620216954</v>
      </c>
      <c r="O118" s="9">
        <f>IF(D118="Electronics",H118*5%,IF(D118="Furniture",H118*8%,0))</f>
        <v>671.12</v>
      </c>
      <c r="P118">
        <f>_xlfn.RANK.EQ(H118,$H$2:$H$201,0)</f>
        <v>161</v>
      </c>
      <c r="Q118">
        <f>SUMIFS($H$2:$H$201,$B$2:$B$201,"&lt;="&amp;B118)</f>
        <v>2014845</v>
      </c>
    </row>
    <row r="119" spans="1:17" x14ac:dyDescent="0.35">
      <c r="A119">
        <v>118</v>
      </c>
      <c r="B119" s="1">
        <v>45711</v>
      </c>
      <c r="C119" t="s">
        <v>14</v>
      </c>
      <c r="D119" t="s">
        <v>10</v>
      </c>
      <c r="E119" t="s">
        <v>21</v>
      </c>
      <c r="F119" t="s">
        <v>24</v>
      </c>
      <c r="G119" t="s">
        <v>23</v>
      </c>
      <c r="H119">
        <v>5296</v>
      </c>
      <c r="I119">
        <v>4380</v>
      </c>
      <c r="J119">
        <f>H119-I119</f>
        <v>916</v>
      </c>
      <c r="K119" s="6">
        <f>J119/H119</f>
        <v>0.1729607250755287</v>
      </c>
      <c r="L119" t="str">
        <f t="array" ref="L119">_xlfn.IFS(J119&gt;15000,"Excellent",J119&gt;=5000,"Good",J119&lt;5000,"Poor")</f>
        <v>Poor</v>
      </c>
      <c r="M119">
        <f t="array" ref="M119">_xlfn.XLOOKUP(G119,' Employee_Salary'!$A$1:A123,' Employee_Salary'!$B$1:B123,FALSE)</f>
        <v>43000</v>
      </c>
      <c r="N119" s="9">
        <f>M119/H119</f>
        <v>8.119335347432024</v>
      </c>
      <c r="O119" s="9">
        <f>IF(D119="Electronics",H119*5%,IF(D119="Furniture",H119*8%,0))</f>
        <v>423.68</v>
      </c>
      <c r="P119">
        <f>_xlfn.RANK.EQ(H119,$H$2:$H$201,0)</f>
        <v>181</v>
      </c>
      <c r="Q119">
        <f>SUMIFS($H$2:$H$201,$B$2:$B$201,"&lt;="&amp;B119)</f>
        <v>2950132</v>
      </c>
    </row>
    <row r="120" spans="1:17" x14ac:dyDescent="0.35">
      <c r="A120">
        <v>119</v>
      </c>
      <c r="B120" s="1">
        <v>45681</v>
      </c>
      <c r="C120" t="s">
        <v>14</v>
      </c>
      <c r="D120" t="s">
        <v>18</v>
      </c>
      <c r="E120" t="s">
        <v>19</v>
      </c>
      <c r="F120" t="s">
        <v>60</v>
      </c>
      <c r="G120" t="s">
        <v>13</v>
      </c>
      <c r="H120">
        <v>23944</v>
      </c>
      <c r="I120">
        <v>15560</v>
      </c>
      <c r="J120">
        <f>H120-I120</f>
        <v>8384</v>
      </c>
      <c r="K120" s="6">
        <f>J120/H120</f>
        <v>0.35015035081857671</v>
      </c>
      <c r="L120" t="str">
        <f t="array" ref="L120">_xlfn.IFS(J120&gt;15000,"Excellent",J120&gt;=5000,"Good",J120&lt;5000,"Poor")</f>
        <v>Good</v>
      </c>
      <c r="M120">
        <f t="array" ref="M120">_xlfn.XLOOKUP(G120,' Employee_Salary'!$A$1:A124,' Employee_Salary'!$B$1:B124,FALSE)</f>
        <v>47000</v>
      </c>
      <c r="N120" s="9">
        <f>M120/H120</f>
        <v>1.962913464751086</v>
      </c>
      <c r="O120" s="9">
        <f>IF(D120="Electronics",H120*5%,IF(D120="Furniture",H120*8%,0))</f>
        <v>1197.2</v>
      </c>
      <c r="P120">
        <f>_xlfn.RANK.EQ(H120,$H$2:$H$201,0)</f>
        <v>36</v>
      </c>
      <c r="Q120">
        <f>SUMIFS($H$2:$H$201,$B$2:$B$201,"&lt;="&amp;B120)</f>
        <v>1463299</v>
      </c>
    </row>
    <row r="121" spans="1:17" x14ac:dyDescent="0.35">
      <c r="A121">
        <v>120</v>
      </c>
      <c r="B121" s="1">
        <v>45685</v>
      </c>
      <c r="C121" t="s">
        <v>37</v>
      </c>
      <c r="D121" t="s">
        <v>18</v>
      </c>
      <c r="E121" t="s">
        <v>19</v>
      </c>
      <c r="F121" t="s">
        <v>63</v>
      </c>
      <c r="G121" t="s">
        <v>23</v>
      </c>
      <c r="H121">
        <v>18898</v>
      </c>
      <c r="I121">
        <v>13265</v>
      </c>
      <c r="J121">
        <f>H121-I121</f>
        <v>5633</v>
      </c>
      <c r="K121" s="6">
        <f>J121/H121</f>
        <v>0.29807387025082022</v>
      </c>
      <c r="L121" t="str">
        <f t="array" ref="L121">_xlfn.IFS(J121&gt;15000,"Excellent",J121&gt;=5000,"Good",J121&lt;5000,"Poor")</f>
        <v>Good</v>
      </c>
      <c r="M121">
        <f t="array" ref="M121">_xlfn.XLOOKUP(G121,' Employee_Salary'!$A$1:A125,' Employee_Salary'!$B$1:B125,FALSE)</f>
        <v>43000</v>
      </c>
      <c r="N121" s="9">
        <f>M121/H121</f>
        <v>2.2753730553497724</v>
      </c>
      <c r="O121" s="9">
        <f>IF(D121="Electronics",H121*5%,IF(D121="Furniture",H121*8%,0))</f>
        <v>944.90000000000009</v>
      </c>
      <c r="P121">
        <f>_xlfn.RANK.EQ(H121,$H$2:$H$201,0)</f>
        <v>75</v>
      </c>
      <c r="Q121">
        <f>SUMIFS($H$2:$H$201,$B$2:$B$201,"&lt;="&amp;B121)</f>
        <v>1648974</v>
      </c>
    </row>
    <row r="122" spans="1:17" x14ac:dyDescent="0.35">
      <c r="A122">
        <v>121</v>
      </c>
      <c r="B122" s="1">
        <v>45683</v>
      </c>
      <c r="C122" t="s">
        <v>9</v>
      </c>
      <c r="D122" t="s">
        <v>10</v>
      </c>
      <c r="E122" t="s">
        <v>11</v>
      </c>
      <c r="F122" t="s">
        <v>41</v>
      </c>
      <c r="G122" t="s">
        <v>35</v>
      </c>
      <c r="H122">
        <v>13655</v>
      </c>
      <c r="I122">
        <v>11129</v>
      </c>
      <c r="J122">
        <f>H122-I122</f>
        <v>2526</v>
      </c>
      <c r="K122" s="6">
        <f>J122/H122</f>
        <v>0.18498718418161844</v>
      </c>
      <c r="L122" t="str">
        <f t="array" ref="L122">_xlfn.IFS(J122&gt;15000,"Excellent",J122&gt;=5000,"Good",J122&lt;5000,"Poor")</f>
        <v>Poor</v>
      </c>
      <c r="M122">
        <f t="array" ref="M122">_xlfn.XLOOKUP(G122,' Employee_Salary'!$A$1:A126,' Employee_Salary'!$B$1:B126,FALSE)</f>
        <v>40000</v>
      </c>
      <c r="N122" s="9">
        <f>M122/H122</f>
        <v>2.9293299157817647</v>
      </c>
      <c r="O122" s="9">
        <f>IF(D122="Electronics",H122*5%,IF(D122="Furniture",H122*8%,0))</f>
        <v>1092.4000000000001</v>
      </c>
      <c r="P122">
        <f>_xlfn.RANK.EQ(H122,$H$2:$H$201,0)</f>
        <v>119</v>
      </c>
      <c r="Q122">
        <f>SUMIFS($H$2:$H$201,$B$2:$B$201,"&lt;="&amp;B122)</f>
        <v>1589196</v>
      </c>
    </row>
    <row r="123" spans="1:17" x14ac:dyDescent="0.35">
      <c r="A123">
        <v>122</v>
      </c>
      <c r="B123" s="1">
        <v>45697</v>
      </c>
      <c r="C123" t="s">
        <v>37</v>
      </c>
      <c r="D123" t="s">
        <v>18</v>
      </c>
      <c r="E123" t="s">
        <v>19</v>
      </c>
      <c r="F123" t="s">
        <v>12</v>
      </c>
      <c r="G123" t="s">
        <v>35</v>
      </c>
      <c r="H123">
        <v>27432</v>
      </c>
      <c r="I123">
        <v>21904</v>
      </c>
      <c r="J123">
        <f>H123-I123</f>
        <v>5528</v>
      </c>
      <c r="K123" s="6">
        <f>J123/H123</f>
        <v>0.20151647710702827</v>
      </c>
      <c r="L123" t="str">
        <f t="array" ref="L123">_xlfn.IFS(J123&gt;15000,"Excellent",J123&gt;=5000,"Good",J123&lt;5000,"Poor")</f>
        <v>Good</v>
      </c>
      <c r="M123">
        <f t="array" ref="M123">_xlfn.XLOOKUP(G123,' Employee_Salary'!$A$1:A127,' Employee_Salary'!$B$1:B127,FALSE)</f>
        <v>40000</v>
      </c>
      <c r="N123" s="9">
        <f>M123/H123</f>
        <v>1.4581510644502771</v>
      </c>
      <c r="O123" s="9">
        <f>IF(D123="Electronics",H123*5%,IF(D123="Furniture",H123*8%,0))</f>
        <v>1371.6000000000001</v>
      </c>
      <c r="P123">
        <f>_xlfn.RANK.EQ(H123,$H$2:$H$201,0)</f>
        <v>18</v>
      </c>
      <c r="Q123">
        <f>SUMIFS($H$2:$H$201,$B$2:$B$201,"&lt;="&amp;B123)</f>
        <v>2181315</v>
      </c>
    </row>
    <row r="124" spans="1:17" x14ac:dyDescent="0.35">
      <c r="A124">
        <v>123</v>
      </c>
      <c r="B124" s="1">
        <v>45702</v>
      </c>
      <c r="C124" t="s">
        <v>14</v>
      </c>
      <c r="D124" t="s">
        <v>18</v>
      </c>
      <c r="E124" t="s">
        <v>32</v>
      </c>
      <c r="F124" t="s">
        <v>41</v>
      </c>
      <c r="G124" t="s">
        <v>23</v>
      </c>
      <c r="H124">
        <v>22740</v>
      </c>
      <c r="I124">
        <v>15119</v>
      </c>
      <c r="J124">
        <f>H124-I124</f>
        <v>7621</v>
      </c>
      <c r="K124" s="6">
        <f>J124/H124</f>
        <v>0.33513632365875112</v>
      </c>
      <c r="L124" t="str">
        <f t="array" ref="L124">_xlfn.IFS(J124&gt;15000,"Excellent",J124&gt;=5000,"Good",J124&lt;5000,"Poor")</f>
        <v>Good</v>
      </c>
      <c r="M124">
        <f t="array" ref="M124">_xlfn.XLOOKUP(G124,' Employee_Salary'!$A$1:A128,' Employee_Salary'!$B$1:B128,FALSE)</f>
        <v>43000</v>
      </c>
      <c r="N124" s="9">
        <f>M124/H124</f>
        <v>1.8909410729991205</v>
      </c>
      <c r="O124" s="9">
        <f>IF(D124="Electronics",H124*5%,IF(D124="Furniture",H124*8%,0))</f>
        <v>1137</v>
      </c>
      <c r="P124">
        <f>_xlfn.RANK.EQ(H124,$H$2:$H$201,0)</f>
        <v>45</v>
      </c>
      <c r="Q124">
        <f>SUMIFS($H$2:$H$201,$B$2:$B$201,"&lt;="&amp;B124)</f>
        <v>2448350</v>
      </c>
    </row>
    <row r="125" spans="1:17" x14ac:dyDescent="0.35">
      <c r="A125">
        <v>124</v>
      </c>
      <c r="B125" s="1">
        <v>45710</v>
      </c>
      <c r="C125" t="s">
        <v>9</v>
      </c>
      <c r="D125" t="s">
        <v>10</v>
      </c>
      <c r="E125" t="s">
        <v>21</v>
      </c>
      <c r="F125" t="s">
        <v>61</v>
      </c>
      <c r="G125" t="s">
        <v>28</v>
      </c>
      <c r="H125">
        <v>20494</v>
      </c>
      <c r="I125">
        <v>13939</v>
      </c>
      <c r="J125">
        <f>H125-I125</f>
        <v>6555</v>
      </c>
      <c r="K125" s="6">
        <f>J125/H125</f>
        <v>0.31984971211086172</v>
      </c>
      <c r="L125" t="str">
        <f t="array" ref="L125">_xlfn.IFS(J125&gt;15000,"Excellent",J125&gt;=5000,"Good",J125&lt;5000,"Poor")</f>
        <v>Good</v>
      </c>
      <c r="M125">
        <f t="array" ref="M125">_xlfn.XLOOKUP(G125,' Employee_Salary'!$A$1:A129,' Employee_Salary'!$B$1:B129,FALSE)</f>
        <v>45000</v>
      </c>
      <c r="N125" s="9">
        <f>M125/H125</f>
        <v>2.1957646140333758</v>
      </c>
      <c r="O125" s="9">
        <f>IF(D125="Electronics",H125*5%,IF(D125="Furniture",H125*8%,0))</f>
        <v>1639.52</v>
      </c>
      <c r="P125">
        <f>_xlfn.RANK.EQ(H125,$H$2:$H$201,0)</f>
        <v>64</v>
      </c>
      <c r="Q125">
        <f>SUMIFS($H$2:$H$201,$B$2:$B$201,"&lt;="&amp;B125)</f>
        <v>2944836</v>
      </c>
    </row>
    <row r="126" spans="1:17" x14ac:dyDescent="0.35">
      <c r="A126">
        <v>125</v>
      </c>
      <c r="B126" s="1">
        <v>45697</v>
      </c>
      <c r="C126" t="s">
        <v>17</v>
      </c>
      <c r="D126" t="s">
        <v>10</v>
      </c>
      <c r="E126" t="s">
        <v>21</v>
      </c>
      <c r="F126" t="s">
        <v>40</v>
      </c>
      <c r="G126" t="s">
        <v>35</v>
      </c>
      <c r="H126">
        <v>4689</v>
      </c>
      <c r="I126">
        <v>3659</v>
      </c>
      <c r="J126">
        <f>H126-I126</f>
        <v>1030</v>
      </c>
      <c r="K126" s="6">
        <f>J126/H126</f>
        <v>0.21966304116016208</v>
      </c>
      <c r="L126" t="str">
        <f t="array" ref="L126">_xlfn.IFS(J126&gt;15000,"Excellent",J126&gt;=5000,"Good",J126&lt;5000,"Poor")</f>
        <v>Poor</v>
      </c>
      <c r="M126">
        <f t="array" ref="M126">_xlfn.XLOOKUP(G126,' Employee_Salary'!$A$1:A130,' Employee_Salary'!$B$1:B130,FALSE)</f>
        <v>40000</v>
      </c>
      <c r="N126" s="9">
        <f>M126/H126</f>
        <v>8.5306035402004685</v>
      </c>
      <c r="O126" s="9">
        <f>IF(D126="Electronics",H126*5%,IF(D126="Furniture",H126*8%,0))</f>
        <v>375.12</v>
      </c>
      <c r="P126">
        <f>_xlfn.RANK.EQ(H126,$H$2:$H$201,0)</f>
        <v>191</v>
      </c>
      <c r="Q126">
        <f>SUMIFS($H$2:$H$201,$B$2:$B$201,"&lt;="&amp;B126)</f>
        <v>2181315</v>
      </c>
    </row>
    <row r="127" spans="1:17" x14ac:dyDescent="0.35">
      <c r="A127">
        <v>126</v>
      </c>
      <c r="B127" s="1">
        <v>45693</v>
      </c>
      <c r="C127" t="s">
        <v>37</v>
      </c>
      <c r="D127" t="s">
        <v>10</v>
      </c>
      <c r="E127" t="s">
        <v>21</v>
      </c>
      <c r="F127" t="s">
        <v>55</v>
      </c>
      <c r="G127" t="s">
        <v>35</v>
      </c>
      <c r="H127">
        <v>7805</v>
      </c>
      <c r="I127">
        <v>6809</v>
      </c>
      <c r="J127">
        <f>H127-I127</f>
        <v>996</v>
      </c>
      <c r="K127" s="6">
        <f>J127/H127</f>
        <v>0.1276105060858424</v>
      </c>
      <c r="L127" t="str">
        <f t="array" ref="L127">_xlfn.IFS(J127&gt;15000,"Excellent",J127&gt;=5000,"Good",J127&lt;5000,"Poor")</f>
        <v>Poor</v>
      </c>
      <c r="M127">
        <f t="array" ref="M127">_xlfn.XLOOKUP(G127,' Employee_Salary'!$A$1:A131,' Employee_Salary'!$B$1:B131,FALSE)</f>
        <v>40000</v>
      </c>
      <c r="N127" s="9">
        <f>M127/H127</f>
        <v>5.1249199231262015</v>
      </c>
      <c r="O127" s="9">
        <f>IF(D127="Electronics",H127*5%,IF(D127="Furniture",H127*8%,0))</f>
        <v>624.4</v>
      </c>
      <c r="P127">
        <f>_xlfn.RANK.EQ(H127,$H$2:$H$201,0)</f>
        <v>166</v>
      </c>
      <c r="Q127">
        <f>SUMIFS($H$2:$H$201,$B$2:$B$201,"&lt;="&amp;B127)</f>
        <v>1945841</v>
      </c>
    </row>
    <row r="128" spans="1:17" x14ac:dyDescent="0.35">
      <c r="A128">
        <v>127</v>
      </c>
      <c r="B128" s="1">
        <v>45696</v>
      </c>
      <c r="C128" t="s">
        <v>14</v>
      </c>
      <c r="D128" t="s">
        <v>10</v>
      </c>
      <c r="E128" t="s">
        <v>15</v>
      </c>
      <c r="F128" t="s">
        <v>39</v>
      </c>
      <c r="G128" t="s">
        <v>28</v>
      </c>
      <c r="H128">
        <v>29035</v>
      </c>
      <c r="I128">
        <v>18117</v>
      </c>
      <c r="J128">
        <f>H128-I128</f>
        <v>10918</v>
      </c>
      <c r="K128" s="6">
        <f>J128/H128</f>
        <v>0.37602893060099879</v>
      </c>
      <c r="L128" t="str">
        <f t="array" ref="L128">_xlfn.IFS(J128&gt;15000,"Excellent",J128&gt;=5000,"Good",J128&lt;5000,"Poor")</f>
        <v>Good</v>
      </c>
      <c r="M128">
        <f t="array" ref="M128">_xlfn.XLOOKUP(G128,' Employee_Salary'!$A$1:A132,' Employee_Salary'!$B$1:B132,FALSE)</f>
        <v>45000</v>
      </c>
      <c r="N128" s="9">
        <f>M128/H128</f>
        <v>1.5498536249354227</v>
      </c>
      <c r="O128" s="9">
        <f>IF(D128="Electronics",H128*5%,IF(D128="Furniture",H128*8%,0))</f>
        <v>2322.8000000000002</v>
      </c>
      <c r="P128">
        <f>_xlfn.RANK.EQ(H128,$H$2:$H$201,0)</f>
        <v>4</v>
      </c>
      <c r="Q128">
        <f>SUMIFS($H$2:$H$201,$B$2:$B$201,"&lt;="&amp;B128)</f>
        <v>2074177</v>
      </c>
    </row>
    <row r="129" spans="1:17" x14ac:dyDescent="0.35">
      <c r="A129">
        <v>128</v>
      </c>
      <c r="B129" s="1">
        <v>45704</v>
      </c>
      <c r="C129" t="s">
        <v>17</v>
      </c>
      <c r="D129" t="s">
        <v>10</v>
      </c>
      <c r="E129" t="s">
        <v>42</v>
      </c>
      <c r="F129" t="s">
        <v>20</v>
      </c>
      <c r="G129" t="s">
        <v>33</v>
      </c>
      <c r="H129">
        <v>28977</v>
      </c>
      <c r="I129">
        <v>20727</v>
      </c>
      <c r="J129">
        <f>H129-I129</f>
        <v>8250</v>
      </c>
      <c r="K129" s="6">
        <f>J129/H129</f>
        <v>0.28470856196293615</v>
      </c>
      <c r="L129" t="str">
        <f t="array" ref="L129">_xlfn.IFS(J129&gt;15000,"Excellent",J129&gt;=5000,"Good",J129&lt;5000,"Poor")</f>
        <v>Good</v>
      </c>
      <c r="M129">
        <f t="array" ref="M129">_xlfn.XLOOKUP(G129,' Employee_Salary'!$A$1:A133,' Employee_Salary'!$B$1:B133,FALSE)</f>
        <v>42000</v>
      </c>
      <c r="N129" s="9">
        <f>M129/H129</f>
        <v>1.4494254063567658</v>
      </c>
      <c r="O129" s="9">
        <f>IF(D129="Electronics",H129*5%,IF(D129="Furniture",H129*8%,0))</f>
        <v>2318.16</v>
      </c>
      <c r="P129">
        <f>_xlfn.RANK.EQ(H129,$H$2:$H$201,0)</f>
        <v>5</v>
      </c>
      <c r="Q129">
        <f>SUMIFS($H$2:$H$201,$B$2:$B$201,"&lt;="&amp;B129)</f>
        <v>2568758</v>
      </c>
    </row>
    <row r="130" spans="1:17" x14ac:dyDescent="0.35">
      <c r="A130">
        <v>129</v>
      </c>
      <c r="B130" s="1">
        <v>45700</v>
      </c>
      <c r="C130" t="s">
        <v>14</v>
      </c>
      <c r="D130" t="s">
        <v>18</v>
      </c>
      <c r="E130" t="s">
        <v>32</v>
      </c>
      <c r="F130" t="s">
        <v>53</v>
      </c>
      <c r="G130" t="s">
        <v>23</v>
      </c>
      <c r="H130">
        <v>22701</v>
      </c>
      <c r="I130">
        <v>17830</v>
      </c>
      <c r="J130">
        <f>H130-I130</f>
        <v>4871</v>
      </c>
      <c r="K130" s="6">
        <f>J130/H130</f>
        <v>0.2145720452843487</v>
      </c>
      <c r="L130" t="str">
        <f t="array" ref="L130">_xlfn.IFS(J130&gt;15000,"Excellent",J130&gt;=5000,"Good",J130&lt;5000,"Poor")</f>
        <v>Poor</v>
      </c>
      <c r="M130">
        <f t="array" ref="M130">_xlfn.XLOOKUP(G130,' Employee_Salary'!$A$1:A134,' Employee_Salary'!$B$1:B134,FALSE)</f>
        <v>43000</v>
      </c>
      <c r="N130" s="9">
        <f>M130/H130</f>
        <v>1.8941896832738645</v>
      </c>
      <c r="O130" s="9">
        <f>IF(D130="Electronics",H130*5%,IF(D130="Furniture",H130*8%,0))</f>
        <v>1135.05</v>
      </c>
      <c r="P130">
        <f>_xlfn.RANK.EQ(H130,$H$2:$H$201,0)</f>
        <v>47</v>
      </c>
      <c r="Q130">
        <f>SUMIFS($H$2:$H$201,$B$2:$B$201,"&lt;="&amp;B130)</f>
        <v>2334388</v>
      </c>
    </row>
    <row r="131" spans="1:17" x14ac:dyDescent="0.35">
      <c r="A131">
        <v>130</v>
      </c>
      <c r="B131" s="1">
        <v>45659</v>
      </c>
      <c r="C131" t="s">
        <v>9</v>
      </c>
      <c r="D131" t="s">
        <v>10</v>
      </c>
      <c r="E131" t="s">
        <v>21</v>
      </c>
      <c r="F131" t="s">
        <v>20</v>
      </c>
      <c r="G131" t="s">
        <v>23</v>
      </c>
      <c r="H131">
        <v>19348</v>
      </c>
      <c r="I131">
        <v>12365</v>
      </c>
      <c r="J131">
        <f>H131-I131</f>
        <v>6983</v>
      </c>
      <c r="K131" s="6">
        <f>J131/H131</f>
        <v>0.36091585693611744</v>
      </c>
      <c r="L131" t="str">
        <f t="array" ref="L131">_xlfn.IFS(J131&gt;15000,"Excellent",J131&gt;=5000,"Good",J131&lt;5000,"Poor")</f>
        <v>Good</v>
      </c>
      <c r="M131">
        <f t="array" ref="M131">_xlfn.XLOOKUP(G131,' Employee_Salary'!$A$1:A135,' Employee_Salary'!$B$1:B135,FALSE)</f>
        <v>43000</v>
      </c>
      <c r="N131" s="9">
        <f>M131/H131</f>
        <v>2.2224519330163326</v>
      </c>
      <c r="O131" s="9">
        <f>IF(D131="Electronics",H131*5%,IF(D131="Furniture",H131*8%,0))</f>
        <v>1547.8400000000001</v>
      </c>
      <c r="P131">
        <f>_xlfn.RANK.EQ(H131,$H$2:$H$201,0)</f>
        <v>73</v>
      </c>
      <c r="Q131">
        <f>SUMIFS($H$2:$H$201,$B$2:$B$201,"&lt;="&amp;B131)</f>
        <v>85259</v>
      </c>
    </row>
    <row r="132" spans="1:17" x14ac:dyDescent="0.35">
      <c r="A132">
        <v>131</v>
      </c>
      <c r="B132" s="1">
        <v>45689</v>
      </c>
      <c r="C132" t="s">
        <v>14</v>
      </c>
      <c r="D132" t="s">
        <v>10</v>
      </c>
      <c r="E132" t="s">
        <v>42</v>
      </c>
      <c r="F132" t="s">
        <v>60</v>
      </c>
      <c r="G132" t="s">
        <v>13</v>
      </c>
      <c r="H132">
        <v>17249</v>
      </c>
      <c r="I132">
        <v>15437</v>
      </c>
      <c r="J132">
        <f>H132-I132</f>
        <v>1812</v>
      </c>
      <c r="K132" s="6">
        <f>J132/H132</f>
        <v>0.10504956809090382</v>
      </c>
      <c r="L132" t="str">
        <f t="array" ref="L132">_xlfn.IFS(J132&gt;15000,"Excellent",J132&gt;=5000,"Good",J132&lt;5000,"Poor")</f>
        <v>Poor</v>
      </c>
      <c r="M132">
        <f t="array" ref="M132">_xlfn.XLOOKUP(G132,' Employee_Salary'!$A$1:A136,' Employee_Salary'!$B$1:B136,FALSE)</f>
        <v>47000</v>
      </c>
      <c r="N132" s="9">
        <f>M132/H132</f>
        <v>2.7247956403269753</v>
      </c>
      <c r="O132" s="9">
        <f>IF(D132="Electronics",H132*5%,IF(D132="Furniture",H132*8%,0))</f>
        <v>1379.92</v>
      </c>
      <c r="P132">
        <f>_xlfn.RANK.EQ(H132,$H$2:$H$201,0)</f>
        <v>93</v>
      </c>
      <c r="Q132">
        <f>SUMIFS($H$2:$H$201,$B$2:$B$201,"&lt;="&amp;B132)</f>
        <v>1845453</v>
      </c>
    </row>
    <row r="133" spans="1:17" x14ac:dyDescent="0.35">
      <c r="A133">
        <v>132</v>
      </c>
      <c r="B133" s="1">
        <v>45699</v>
      </c>
      <c r="C133" t="s">
        <v>17</v>
      </c>
      <c r="D133" t="s">
        <v>10</v>
      </c>
      <c r="E133" t="s">
        <v>21</v>
      </c>
      <c r="F133" t="s">
        <v>49</v>
      </c>
      <c r="G133" t="s">
        <v>13</v>
      </c>
      <c r="H133">
        <v>11825</v>
      </c>
      <c r="I133">
        <v>10476</v>
      </c>
      <c r="J133">
        <f>H133-I133</f>
        <v>1349</v>
      </c>
      <c r="K133" s="6">
        <f>J133/H133</f>
        <v>0.11408033826638478</v>
      </c>
      <c r="L133" t="str">
        <f t="array" ref="L133">_xlfn.IFS(J133&gt;15000,"Excellent",J133&gt;=5000,"Good",J133&lt;5000,"Poor")</f>
        <v>Poor</v>
      </c>
      <c r="M133">
        <f t="array" ref="M133">_xlfn.XLOOKUP(G133,' Employee_Salary'!$A$1:A137,' Employee_Salary'!$B$1:B137,FALSE)</f>
        <v>47000</v>
      </c>
      <c r="N133" s="9">
        <f>M133/H133</f>
        <v>3.9746300211416492</v>
      </c>
      <c r="O133" s="9">
        <f>IF(D133="Electronics",H133*5%,IF(D133="Furniture",H133*8%,0))</f>
        <v>946</v>
      </c>
      <c r="P133">
        <f>_xlfn.RANK.EQ(H133,$H$2:$H$201,0)</f>
        <v>141</v>
      </c>
      <c r="Q133">
        <f>SUMIFS($H$2:$H$201,$B$2:$B$201,"&lt;="&amp;B133)</f>
        <v>2264035</v>
      </c>
    </row>
    <row r="134" spans="1:17" x14ac:dyDescent="0.35">
      <c r="A134">
        <v>133</v>
      </c>
      <c r="B134" s="1">
        <v>45663</v>
      </c>
      <c r="C134" t="s">
        <v>37</v>
      </c>
      <c r="D134" t="s">
        <v>18</v>
      </c>
      <c r="E134" t="s">
        <v>26</v>
      </c>
      <c r="F134" t="s">
        <v>45</v>
      </c>
      <c r="G134" t="s">
        <v>28</v>
      </c>
      <c r="H134">
        <v>17610</v>
      </c>
      <c r="I134">
        <v>12853</v>
      </c>
      <c r="J134">
        <f>H134-I134</f>
        <v>4757</v>
      </c>
      <c r="K134" s="6">
        <f>J134/H134</f>
        <v>0.2701306076093129</v>
      </c>
      <c r="L134" t="str">
        <f t="array" ref="L134">_xlfn.IFS(J134&gt;15000,"Excellent",J134&gt;=5000,"Good",J134&lt;5000,"Poor")</f>
        <v>Poor</v>
      </c>
      <c r="M134">
        <f t="array" ref="M134">_xlfn.XLOOKUP(G134,' Employee_Salary'!$A$1:A138,' Employee_Salary'!$B$1:B138,FALSE)</f>
        <v>45000</v>
      </c>
      <c r="N134" s="9">
        <f>M134/H134</f>
        <v>2.5553662691652472</v>
      </c>
      <c r="O134" s="9">
        <f>IF(D134="Electronics",H134*5%,IF(D134="Furniture",H134*8%,0))</f>
        <v>880.5</v>
      </c>
      <c r="P134">
        <f>_xlfn.RANK.EQ(H134,$H$2:$H$201,0)</f>
        <v>88</v>
      </c>
      <c r="Q134">
        <f>SUMIFS($H$2:$H$201,$B$2:$B$201,"&lt;="&amp;B134)</f>
        <v>314278</v>
      </c>
    </row>
    <row r="135" spans="1:17" x14ac:dyDescent="0.35">
      <c r="A135">
        <v>134</v>
      </c>
      <c r="B135" s="1">
        <v>45666</v>
      </c>
      <c r="C135" t="s">
        <v>9</v>
      </c>
      <c r="D135" t="s">
        <v>10</v>
      </c>
      <c r="E135" t="s">
        <v>15</v>
      </c>
      <c r="F135" t="s">
        <v>67</v>
      </c>
      <c r="G135" t="s">
        <v>33</v>
      </c>
      <c r="H135">
        <v>13456</v>
      </c>
      <c r="I135">
        <v>8137</v>
      </c>
      <c r="J135">
        <f>H135-I135</f>
        <v>5319</v>
      </c>
      <c r="K135" s="6">
        <f>J135/H135</f>
        <v>0.39528834720570749</v>
      </c>
      <c r="L135" t="str">
        <f t="array" ref="L135">_xlfn.IFS(J135&gt;15000,"Excellent",J135&gt;=5000,"Good",J135&lt;5000,"Poor")</f>
        <v>Good</v>
      </c>
      <c r="M135">
        <f t="array" ref="M135">_xlfn.XLOOKUP(G135,' Employee_Salary'!$A$1:A139,' Employee_Salary'!$B$1:B139,FALSE)</f>
        <v>42000</v>
      </c>
      <c r="N135" s="9">
        <f>M135/H135</f>
        <v>3.1212841854934603</v>
      </c>
      <c r="O135" s="9">
        <f>IF(D135="Electronics",H135*5%,IF(D135="Furniture",H135*8%,0))</f>
        <v>1076.48</v>
      </c>
      <c r="P135">
        <f>_xlfn.RANK.EQ(H135,$H$2:$H$201,0)</f>
        <v>121</v>
      </c>
      <c r="Q135">
        <f>SUMIFS($H$2:$H$201,$B$2:$B$201,"&lt;="&amp;B135)</f>
        <v>480218</v>
      </c>
    </row>
    <row r="136" spans="1:17" x14ac:dyDescent="0.35">
      <c r="A136">
        <v>135</v>
      </c>
      <c r="B136" s="1">
        <v>45689</v>
      </c>
      <c r="C136" t="s">
        <v>9</v>
      </c>
      <c r="D136" t="s">
        <v>10</v>
      </c>
      <c r="E136" t="s">
        <v>21</v>
      </c>
      <c r="F136" t="s">
        <v>50</v>
      </c>
      <c r="G136" t="s">
        <v>23</v>
      </c>
      <c r="H136">
        <v>21343</v>
      </c>
      <c r="I136">
        <v>13101</v>
      </c>
      <c r="J136">
        <f>H136-I136</f>
        <v>8242</v>
      </c>
      <c r="K136" s="6">
        <f>J136/H136</f>
        <v>0.38616876727732746</v>
      </c>
      <c r="L136" t="str">
        <f t="array" ref="L136">_xlfn.IFS(J136&gt;15000,"Excellent",J136&gt;=5000,"Good",J136&lt;5000,"Poor")</f>
        <v>Good</v>
      </c>
      <c r="M136">
        <f t="array" ref="M136">_xlfn.XLOOKUP(G136,' Employee_Salary'!$A$1:A140,' Employee_Salary'!$B$1:B140,FALSE)</f>
        <v>43000</v>
      </c>
      <c r="N136" s="9">
        <f>M136/H136</f>
        <v>2.0147120835871246</v>
      </c>
      <c r="O136" s="9">
        <f>IF(D136="Electronics",H136*5%,IF(D136="Furniture",H136*8%,0))</f>
        <v>1707.44</v>
      </c>
      <c r="P136">
        <f>_xlfn.RANK.EQ(H136,$H$2:$H$201,0)</f>
        <v>58</v>
      </c>
      <c r="Q136">
        <f>SUMIFS($H$2:$H$201,$B$2:$B$201,"&lt;="&amp;B136)</f>
        <v>1845453</v>
      </c>
    </row>
    <row r="137" spans="1:17" x14ac:dyDescent="0.35">
      <c r="A137">
        <v>136</v>
      </c>
      <c r="B137" s="1">
        <v>45669</v>
      </c>
      <c r="C137" t="s">
        <v>17</v>
      </c>
      <c r="D137" t="s">
        <v>10</v>
      </c>
      <c r="E137" t="s">
        <v>21</v>
      </c>
      <c r="F137" t="s">
        <v>66</v>
      </c>
      <c r="G137" t="s">
        <v>33</v>
      </c>
      <c r="H137">
        <v>16315</v>
      </c>
      <c r="I137">
        <v>14531</v>
      </c>
      <c r="J137">
        <f>H137-I137</f>
        <v>1784</v>
      </c>
      <c r="K137" s="6">
        <f>J137/H137</f>
        <v>0.10934722647870058</v>
      </c>
      <c r="L137" t="str">
        <f t="array" ref="L137">_xlfn.IFS(J137&gt;15000,"Excellent",J137&gt;=5000,"Good",J137&lt;5000,"Poor")</f>
        <v>Poor</v>
      </c>
      <c r="M137">
        <f t="array" ref="M137">_xlfn.XLOOKUP(G137,' Employee_Salary'!$A$1:A141,' Employee_Salary'!$B$1:B141,FALSE)</f>
        <v>42000</v>
      </c>
      <c r="N137" s="9">
        <f>M137/H137</f>
        <v>2.5743181121667176</v>
      </c>
      <c r="O137" s="9">
        <f>IF(D137="Electronics",H137*5%,IF(D137="Furniture",H137*8%,0))</f>
        <v>1305.2</v>
      </c>
      <c r="P137">
        <f>_xlfn.RANK.EQ(H137,$H$2:$H$201,0)</f>
        <v>104</v>
      </c>
      <c r="Q137">
        <f>SUMIFS($H$2:$H$201,$B$2:$B$201,"&lt;="&amp;B137)</f>
        <v>665652</v>
      </c>
    </row>
    <row r="138" spans="1:17" x14ac:dyDescent="0.35">
      <c r="A138">
        <v>137</v>
      </c>
      <c r="B138" s="1">
        <v>45677</v>
      </c>
      <c r="C138" t="s">
        <v>14</v>
      </c>
      <c r="D138" t="s">
        <v>18</v>
      </c>
      <c r="E138" t="s">
        <v>26</v>
      </c>
      <c r="F138" t="s">
        <v>61</v>
      </c>
      <c r="G138" t="s">
        <v>28</v>
      </c>
      <c r="H138">
        <v>21957</v>
      </c>
      <c r="I138">
        <v>13992</v>
      </c>
      <c r="J138">
        <f>H138-I138</f>
        <v>7965</v>
      </c>
      <c r="K138" s="6">
        <f>J138/H138</f>
        <v>0.36275447465500754</v>
      </c>
      <c r="L138" t="str">
        <f t="array" ref="L138">_xlfn.IFS(J138&gt;15000,"Excellent",J138&gt;=5000,"Good",J138&lt;5000,"Poor")</f>
        <v>Good</v>
      </c>
      <c r="M138">
        <f t="array" ref="M138">_xlfn.XLOOKUP(G138,' Employee_Salary'!$A$1:A142,' Employee_Salary'!$B$1:B142,FALSE)</f>
        <v>45000</v>
      </c>
      <c r="N138" s="9">
        <f>M138/H138</f>
        <v>2.0494603087853531</v>
      </c>
      <c r="O138" s="9">
        <f>IF(D138="Electronics",H138*5%,IF(D138="Furniture",H138*8%,0))</f>
        <v>1097.8500000000001</v>
      </c>
      <c r="P138">
        <f>_xlfn.RANK.EQ(H138,$H$2:$H$201,0)</f>
        <v>54</v>
      </c>
      <c r="Q138">
        <f>SUMIFS($H$2:$H$201,$B$2:$B$201,"&lt;="&amp;B138)</f>
        <v>1137341</v>
      </c>
    </row>
    <row r="139" spans="1:17" x14ac:dyDescent="0.35">
      <c r="A139">
        <v>138</v>
      </c>
      <c r="B139" s="1">
        <v>45695</v>
      </c>
      <c r="C139" t="s">
        <v>17</v>
      </c>
      <c r="D139" t="s">
        <v>10</v>
      </c>
      <c r="E139" t="s">
        <v>42</v>
      </c>
      <c r="F139" t="s">
        <v>38</v>
      </c>
      <c r="G139" t="s">
        <v>28</v>
      </c>
      <c r="H139">
        <v>7509</v>
      </c>
      <c r="I139">
        <v>5216</v>
      </c>
      <c r="J139">
        <f>H139-I139</f>
        <v>2293</v>
      </c>
      <c r="K139" s="6">
        <f>J139/H139</f>
        <v>0.30536689306165932</v>
      </c>
      <c r="L139" t="str">
        <f t="array" ref="L139">_xlfn.IFS(J139&gt;15000,"Excellent",J139&gt;=5000,"Good",J139&lt;5000,"Poor")</f>
        <v>Poor</v>
      </c>
      <c r="M139">
        <f t="array" ref="M139">_xlfn.XLOOKUP(G139,' Employee_Salary'!$A$1:A143,' Employee_Salary'!$B$1:B143,FALSE)</f>
        <v>45000</v>
      </c>
      <c r="N139" s="9">
        <f>M139/H139</f>
        <v>5.9928086296444265</v>
      </c>
      <c r="O139" s="9">
        <f>IF(D139="Electronics",H139*5%,IF(D139="Furniture",H139*8%,0))</f>
        <v>600.72</v>
      </c>
      <c r="P139">
        <f>_xlfn.RANK.EQ(H139,$H$2:$H$201,0)</f>
        <v>168</v>
      </c>
      <c r="Q139">
        <f>SUMIFS($H$2:$H$201,$B$2:$B$201,"&lt;="&amp;B139)</f>
        <v>2014845</v>
      </c>
    </row>
    <row r="140" spans="1:17" x14ac:dyDescent="0.35">
      <c r="A140">
        <v>139</v>
      </c>
      <c r="B140" s="1">
        <v>45671</v>
      </c>
      <c r="C140" t="s">
        <v>9</v>
      </c>
      <c r="D140" t="s">
        <v>10</v>
      </c>
      <c r="E140" t="s">
        <v>11</v>
      </c>
      <c r="F140" t="s">
        <v>72</v>
      </c>
      <c r="G140" t="s">
        <v>35</v>
      </c>
      <c r="H140">
        <v>28336</v>
      </c>
      <c r="I140">
        <v>17187</v>
      </c>
      <c r="J140">
        <f>H140-I140</f>
        <v>11149</v>
      </c>
      <c r="K140" s="6">
        <f>J140/H140</f>
        <v>0.39345708639186899</v>
      </c>
      <c r="L140" t="str">
        <f t="array" ref="L140">_xlfn.IFS(J140&gt;15000,"Excellent",J140&gt;=5000,"Good",J140&lt;5000,"Poor")</f>
        <v>Good</v>
      </c>
      <c r="M140">
        <f t="array" ref="M140">_xlfn.XLOOKUP(G140,' Employee_Salary'!$A$1:A144,' Employee_Salary'!$B$1:B144,FALSE)</f>
        <v>40000</v>
      </c>
      <c r="N140" s="9">
        <f>M140/H140</f>
        <v>1.411631846414455</v>
      </c>
      <c r="O140" s="9">
        <f>IF(D140="Electronics",H140*5%,IF(D140="Furniture",H140*8%,0))</f>
        <v>2266.88</v>
      </c>
      <c r="P140">
        <f>_xlfn.RANK.EQ(H140,$H$2:$H$201,0)</f>
        <v>9</v>
      </c>
      <c r="Q140">
        <f>SUMIFS($H$2:$H$201,$B$2:$B$201,"&lt;="&amp;B140)</f>
        <v>841403</v>
      </c>
    </row>
    <row r="141" spans="1:17" x14ac:dyDescent="0.35">
      <c r="A141">
        <v>140</v>
      </c>
      <c r="B141" s="1">
        <v>45697</v>
      </c>
      <c r="C141" t="s">
        <v>14</v>
      </c>
      <c r="D141" t="s">
        <v>10</v>
      </c>
      <c r="E141" t="s">
        <v>42</v>
      </c>
      <c r="F141" t="s">
        <v>73</v>
      </c>
      <c r="G141" t="s">
        <v>28</v>
      </c>
      <c r="H141">
        <v>7967</v>
      </c>
      <c r="I141">
        <v>6547</v>
      </c>
      <c r="J141">
        <f>H141-I141</f>
        <v>1420</v>
      </c>
      <c r="K141" s="6">
        <f>J141/H141</f>
        <v>0.17823522028367014</v>
      </c>
      <c r="L141" t="str">
        <f t="array" ref="L141">_xlfn.IFS(J141&gt;15000,"Excellent",J141&gt;=5000,"Good",J141&lt;5000,"Poor")</f>
        <v>Poor</v>
      </c>
      <c r="M141">
        <f t="array" ref="M141">_xlfn.XLOOKUP(G141,' Employee_Salary'!$A$1:A145,' Employee_Salary'!$B$1:B145,FALSE)</f>
        <v>45000</v>
      </c>
      <c r="N141" s="9">
        <f>M141/H141</f>
        <v>5.6482992343416596</v>
      </c>
      <c r="O141" s="9">
        <f>IF(D141="Electronics",H141*5%,IF(D141="Furniture",H141*8%,0))</f>
        <v>637.36</v>
      </c>
      <c r="P141">
        <f>_xlfn.RANK.EQ(H141,$H$2:$H$201,0)</f>
        <v>164</v>
      </c>
      <c r="Q141">
        <f>SUMIFS($H$2:$H$201,$B$2:$B$201,"&lt;="&amp;B141)</f>
        <v>2181315</v>
      </c>
    </row>
    <row r="142" spans="1:17" x14ac:dyDescent="0.35">
      <c r="A142">
        <v>141</v>
      </c>
      <c r="B142" s="1">
        <v>45714</v>
      </c>
      <c r="C142" t="s">
        <v>9</v>
      </c>
      <c r="D142" t="s">
        <v>18</v>
      </c>
      <c r="E142" t="s">
        <v>32</v>
      </c>
      <c r="F142" t="s">
        <v>30</v>
      </c>
      <c r="G142" t="s">
        <v>33</v>
      </c>
      <c r="H142">
        <v>9266</v>
      </c>
      <c r="I142">
        <v>7251</v>
      </c>
      <c r="J142">
        <f>H142-I142</f>
        <v>2015</v>
      </c>
      <c r="K142" s="6">
        <f>J142/H142</f>
        <v>0.2174616878912152</v>
      </c>
      <c r="L142" t="str">
        <f t="array" ref="L142">_xlfn.IFS(J142&gt;15000,"Excellent",J142&gt;=5000,"Good",J142&lt;5000,"Poor")</f>
        <v>Poor</v>
      </c>
      <c r="M142">
        <f t="array" ref="M142">_xlfn.XLOOKUP(G142,' Employee_Salary'!$A$1:A146,' Employee_Salary'!$B$1:B146,FALSE)</f>
        <v>42000</v>
      </c>
      <c r="N142" s="9">
        <f>M142/H142</f>
        <v>4.5327001942585801</v>
      </c>
      <c r="O142" s="9">
        <f>IF(D142="Electronics",H142*5%,IF(D142="Furniture",H142*8%,0))</f>
        <v>463.3</v>
      </c>
      <c r="P142">
        <f>_xlfn.RANK.EQ(H142,$H$2:$H$201,0)</f>
        <v>153</v>
      </c>
      <c r="Q142">
        <f>SUMIFS($H$2:$H$201,$B$2:$B$201,"&lt;="&amp;B142)</f>
        <v>3096876</v>
      </c>
    </row>
    <row r="143" spans="1:17" x14ac:dyDescent="0.35">
      <c r="A143">
        <v>142</v>
      </c>
      <c r="B143" s="1">
        <v>45658</v>
      </c>
      <c r="C143" t="s">
        <v>17</v>
      </c>
      <c r="D143" t="s">
        <v>18</v>
      </c>
      <c r="E143" t="s">
        <v>26</v>
      </c>
      <c r="F143" t="s">
        <v>43</v>
      </c>
      <c r="G143" t="s">
        <v>28</v>
      </c>
      <c r="H143">
        <v>18541</v>
      </c>
      <c r="I143">
        <v>12433</v>
      </c>
      <c r="J143">
        <f>H143-I143</f>
        <v>6108</v>
      </c>
      <c r="K143" s="6">
        <f>J143/H143</f>
        <v>0.32943206946766623</v>
      </c>
      <c r="L143" t="str">
        <f t="array" ref="L143">_xlfn.IFS(J143&gt;15000,"Excellent",J143&gt;=5000,"Good",J143&lt;5000,"Poor")</f>
        <v>Good</v>
      </c>
      <c r="M143">
        <f t="array" ref="M143">_xlfn.XLOOKUP(G143,' Employee_Salary'!$A$1:A147,' Employee_Salary'!$B$1:B147,FALSE)</f>
        <v>45000</v>
      </c>
      <c r="N143" s="9">
        <f>M143/H143</f>
        <v>2.4270535569818241</v>
      </c>
      <c r="O143" s="9">
        <f>IF(D143="Electronics",H143*5%,IF(D143="Furniture",H143*8%,0))</f>
        <v>927.05000000000007</v>
      </c>
      <c r="P143">
        <f>_xlfn.RANK.EQ(H143,$H$2:$H$201,0)</f>
        <v>77</v>
      </c>
      <c r="Q143">
        <f>SUMIFS($H$2:$H$201,$B$2:$B$201,"&lt;="&amp;B143)</f>
        <v>49160</v>
      </c>
    </row>
    <row r="144" spans="1:17" x14ac:dyDescent="0.35">
      <c r="A144">
        <v>143</v>
      </c>
      <c r="B144" s="1">
        <v>45700</v>
      </c>
      <c r="C144" t="s">
        <v>9</v>
      </c>
      <c r="D144" t="s">
        <v>18</v>
      </c>
      <c r="E144" t="s">
        <v>32</v>
      </c>
      <c r="F144" t="s">
        <v>74</v>
      </c>
      <c r="G144" t="s">
        <v>23</v>
      </c>
      <c r="H144">
        <v>12290</v>
      </c>
      <c r="I144">
        <v>8375</v>
      </c>
      <c r="J144">
        <f>H144-I144</f>
        <v>3915</v>
      </c>
      <c r="K144" s="6">
        <f>J144/H144</f>
        <v>0.31855166802278273</v>
      </c>
      <c r="L144" t="str">
        <f t="array" ref="L144">_xlfn.IFS(J144&gt;15000,"Excellent",J144&gt;=5000,"Good",J144&lt;5000,"Poor")</f>
        <v>Poor</v>
      </c>
      <c r="M144">
        <f t="array" ref="M144">_xlfn.XLOOKUP(G144,' Employee_Salary'!$A$1:A148,' Employee_Salary'!$B$1:B148,FALSE)</f>
        <v>43000</v>
      </c>
      <c r="N144" s="9">
        <f>M144/H144</f>
        <v>3.498779495524817</v>
      </c>
      <c r="O144" s="9">
        <f>IF(D144="Electronics",H144*5%,IF(D144="Furniture",H144*8%,0))</f>
        <v>614.5</v>
      </c>
      <c r="P144">
        <f>_xlfn.RANK.EQ(H144,$H$2:$H$201,0)</f>
        <v>136</v>
      </c>
      <c r="Q144">
        <f>SUMIFS($H$2:$H$201,$B$2:$B$201,"&lt;="&amp;B144)</f>
        <v>2334388</v>
      </c>
    </row>
    <row r="145" spans="1:17" x14ac:dyDescent="0.35">
      <c r="A145">
        <v>144</v>
      </c>
      <c r="B145" s="1">
        <v>45666</v>
      </c>
      <c r="C145" t="s">
        <v>14</v>
      </c>
      <c r="D145" t="s">
        <v>10</v>
      </c>
      <c r="E145" t="s">
        <v>15</v>
      </c>
      <c r="F145" t="s">
        <v>57</v>
      </c>
      <c r="G145" t="s">
        <v>23</v>
      </c>
      <c r="H145">
        <v>29811</v>
      </c>
      <c r="I145">
        <v>23913</v>
      </c>
      <c r="J145">
        <f>H145-I145</f>
        <v>5898</v>
      </c>
      <c r="K145" s="6">
        <f>J145/H145</f>
        <v>0.19784643252490691</v>
      </c>
      <c r="L145" t="str">
        <f t="array" ref="L145">_xlfn.IFS(J145&gt;15000,"Excellent",J145&gt;=5000,"Good",J145&lt;5000,"Poor")</f>
        <v>Good</v>
      </c>
      <c r="M145">
        <f t="array" ref="M145">_xlfn.XLOOKUP(G145,' Employee_Salary'!$A$1:A149,' Employee_Salary'!$B$1:B149,FALSE)</f>
        <v>43000</v>
      </c>
      <c r="N145" s="9">
        <f>M145/H145</f>
        <v>1.4424205830062728</v>
      </c>
      <c r="O145" s="9">
        <f>IF(D145="Electronics",H145*5%,IF(D145="Furniture",H145*8%,0))</f>
        <v>2384.88</v>
      </c>
      <c r="P145">
        <f>_xlfn.RANK.EQ(H145,$H$2:$H$201,0)</f>
        <v>1</v>
      </c>
      <c r="Q145">
        <f>SUMIFS($H$2:$H$201,$B$2:$B$201,"&lt;="&amp;B145)</f>
        <v>480218</v>
      </c>
    </row>
    <row r="146" spans="1:17" x14ac:dyDescent="0.35">
      <c r="A146">
        <v>145</v>
      </c>
      <c r="B146" s="1">
        <v>45678</v>
      </c>
      <c r="C146" t="s">
        <v>17</v>
      </c>
      <c r="D146" t="s">
        <v>18</v>
      </c>
      <c r="E146" t="s">
        <v>32</v>
      </c>
      <c r="F146" t="s">
        <v>50</v>
      </c>
      <c r="G146" t="s">
        <v>33</v>
      </c>
      <c r="H146">
        <v>3743</v>
      </c>
      <c r="I146">
        <v>2347</v>
      </c>
      <c r="J146">
        <f>H146-I146</f>
        <v>1396</v>
      </c>
      <c r="K146" s="6">
        <f>J146/H146</f>
        <v>0.37296286401282391</v>
      </c>
      <c r="L146" t="str">
        <f t="array" ref="L146">_xlfn.IFS(J146&gt;15000,"Excellent",J146&gt;=5000,"Good",J146&lt;5000,"Poor")</f>
        <v>Poor</v>
      </c>
      <c r="M146">
        <f t="array" ref="M146">_xlfn.XLOOKUP(G146,' Employee_Salary'!$A$1:A150,' Employee_Salary'!$B$1:B150,FALSE)</f>
        <v>42000</v>
      </c>
      <c r="N146" s="9">
        <f>M146/H146</f>
        <v>11.2209457654288</v>
      </c>
      <c r="O146" s="9">
        <f>IF(D146="Electronics",H146*5%,IF(D146="Furniture",H146*8%,0))</f>
        <v>187.15</v>
      </c>
      <c r="P146">
        <f>_xlfn.RANK.EQ(H146,$H$2:$H$201,0)</f>
        <v>196</v>
      </c>
      <c r="Q146">
        <f>SUMIFS($H$2:$H$201,$B$2:$B$201,"&lt;="&amp;B146)</f>
        <v>1191668</v>
      </c>
    </row>
    <row r="147" spans="1:17" x14ac:dyDescent="0.35">
      <c r="A147">
        <v>146</v>
      </c>
      <c r="B147" s="1">
        <v>45691</v>
      </c>
      <c r="C147" t="s">
        <v>14</v>
      </c>
      <c r="D147" t="s">
        <v>10</v>
      </c>
      <c r="E147" t="s">
        <v>11</v>
      </c>
      <c r="F147" t="s">
        <v>75</v>
      </c>
      <c r="G147" t="s">
        <v>33</v>
      </c>
      <c r="H147">
        <v>12655</v>
      </c>
      <c r="I147">
        <v>10478</v>
      </c>
      <c r="J147">
        <f>H147-I147</f>
        <v>2177</v>
      </c>
      <c r="K147" s="6">
        <f>J147/H147</f>
        <v>0.17202686685104701</v>
      </c>
      <c r="L147" t="str">
        <f t="array" ref="L147">_xlfn.IFS(J147&gt;15000,"Excellent",J147&gt;=5000,"Good",J147&lt;5000,"Poor")</f>
        <v>Poor</v>
      </c>
      <c r="M147">
        <f t="array" ref="M147">_xlfn.XLOOKUP(G147,' Employee_Salary'!$A$1:A151,' Employee_Salary'!$B$1:B151,FALSE)</f>
        <v>42000</v>
      </c>
      <c r="N147" s="9">
        <f>M147/H147</f>
        <v>3.3188463058079809</v>
      </c>
      <c r="O147" s="9">
        <f>IF(D147="Electronics",H147*5%,IF(D147="Furniture",H147*8%,0))</f>
        <v>1012.4</v>
      </c>
      <c r="P147">
        <f>_xlfn.RANK.EQ(H147,$H$2:$H$201,0)</f>
        <v>131</v>
      </c>
      <c r="Q147">
        <f>SUMIFS($H$2:$H$201,$B$2:$B$201,"&lt;="&amp;B147)</f>
        <v>1908942</v>
      </c>
    </row>
    <row r="148" spans="1:17" x14ac:dyDescent="0.35">
      <c r="A148">
        <v>147</v>
      </c>
      <c r="B148" s="1">
        <v>45665</v>
      </c>
      <c r="C148" t="s">
        <v>9</v>
      </c>
      <c r="D148" t="s">
        <v>18</v>
      </c>
      <c r="E148" t="s">
        <v>26</v>
      </c>
      <c r="F148" t="s">
        <v>53</v>
      </c>
      <c r="G148" t="s">
        <v>23</v>
      </c>
      <c r="H148">
        <v>19492</v>
      </c>
      <c r="I148">
        <v>15052</v>
      </c>
      <c r="J148">
        <f>H148-I148</f>
        <v>4440</v>
      </c>
      <c r="K148" s="6">
        <f>J148/H148</f>
        <v>0.22778575825979888</v>
      </c>
      <c r="L148" t="str">
        <f t="array" ref="L148">_xlfn.IFS(J148&gt;15000,"Excellent",J148&gt;=5000,"Good",J148&lt;5000,"Poor")</f>
        <v>Poor</v>
      </c>
      <c r="M148">
        <f t="array" ref="M148">_xlfn.XLOOKUP(G148,' Employee_Salary'!$A$1:A152,' Employee_Salary'!$B$1:B152,FALSE)</f>
        <v>43000</v>
      </c>
      <c r="N148" s="9">
        <f>M148/H148</f>
        <v>2.2060332444079624</v>
      </c>
      <c r="O148" s="9">
        <f>IF(D148="Electronics",H148*5%,IF(D148="Furniture",H148*8%,0))</f>
        <v>974.6</v>
      </c>
      <c r="P148">
        <f>_xlfn.RANK.EQ(H148,$H$2:$H$201,0)</f>
        <v>71</v>
      </c>
      <c r="Q148">
        <f>SUMIFS($H$2:$H$201,$B$2:$B$201,"&lt;="&amp;B148)</f>
        <v>358220</v>
      </c>
    </row>
    <row r="149" spans="1:17" x14ac:dyDescent="0.35">
      <c r="A149">
        <v>148</v>
      </c>
      <c r="B149" s="1">
        <v>45686</v>
      </c>
      <c r="C149" t="s">
        <v>9</v>
      </c>
      <c r="D149" t="s">
        <v>18</v>
      </c>
      <c r="E149" t="s">
        <v>19</v>
      </c>
      <c r="F149" t="s">
        <v>76</v>
      </c>
      <c r="G149" t="s">
        <v>23</v>
      </c>
      <c r="H149">
        <v>23823</v>
      </c>
      <c r="I149">
        <v>15138</v>
      </c>
      <c r="J149">
        <f>H149-I149</f>
        <v>8685</v>
      </c>
      <c r="K149" s="6">
        <f>J149/H149</f>
        <v>0.36456365697015491</v>
      </c>
      <c r="L149" t="str">
        <f t="array" ref="L149">_xlfn.IFS(J149&gt;15000,"Excellent",J149&gt;=5000,"Good",J149&lt;5000,"Poor")</f>
        <v>Good</v>
      </c>
      <c r="M149">
        <f t="array" ref="M149">_xlfn.XLOOKUP(G149,' Employee_Salary'!$A$1:A153,' Employee_Salary'!$B$1:B153,FALSE)</f>
        <v>43000</v>
      </c>
      <c r="N149" s="9">
        <f>M149/H149</f>
        <v>1.8049783822356547</v>
      </c>
      <c r="O149" s="9">
        <f>IF(D149="Electronics",H149*5%,IF(D149="Furniture",H149*8%,0))</f>
        <v>1191.1500000000001</v>
      </c>
      <c r="P149">
        <f>_xlfn.RANK.EQ(H149,$H$2:$H$201,0)</f>
        <v>38</v>
      </c>
      <c r="Q149">
        <f>SUMIFS($H$2:$H$201,$B$2:$B$201,"&lt;="&amp;B149)</f>
        <v>1678740</v>
      </c>
    </row>
    <row r="150" spans="1:17" x14ac:dyDescent="0.35">
      <c r="A150">
        <v>149</v>
      </c>
      <c r="B150" s="1">
        <v>45663</v>
      </c>
      <c r="C150" t="s">
        <v>37</v>
      </c>
      <c r="D150" t="s">
        <v>18</v>
      </c>
      <c r="E150" t="s">
        <v>32</v>
      </c>
      <c r="F150" t="s">
        <v>65</v>
      </c>
      <c r="G150" t="s">
        <v>13</v>
      </c>
      <c r="H150">
        <v>12233</v>
      </c>
      <c r="I150">
        <v>8248</v>
      </c>
      <c r="J150">
        <f>H150-I150</f>
        <v>3985</v>
      </c>
      <c r="K150" s="6">
        <f>J150/H150</f>
        <v>0.32575819504618653</v>
      </c>
      <c r="L150" t="str">
        <f t="array" ref="L150">_xlfn.IFS(J150&gt;15000,"Excellent",J150&gt;=5000,"Good",J150&lt;5000,"Poor")</f>
        <v>Poor</v>
      </c>
      <c r="M150">
        <f t="array" ref="M150">_xlfn.XLOOKUP(G150,' Employee_Salary'!$A$1:A154,' Employee_Salary'!$B$1:B154,FALSE)</f>
        <v>47000</v>
      </c>
      <c r="N150" s="9">
        <f>M150/H150</f>
        <v>3.842066541322652</v>
      </c>
      <c r="O150" s="9">
        <f>IF(D150="Electronics",H150*5%,IF(D150="Furniture",H150*8%,0))</f>
        <v>611.65</v>
      </c>
      <c r="P150">
        <f>_xlfn.RANK.EQ(H150,$H$2:$H$201,0)</f>
        <v>138</v>
      </c>
      <c r="Q150">
        <f>SUMIFS($H$2:$H$201,$B$2:$B$201,"&lt;="&amp;B150)</f>
        <v>314278</v>
      </c>
    </row>
    <row r="151" spans="1:17" x14ac:dyDescent="0.35">
      <c r="A151">
        <v>150</v>
      </c>
      <c r="B151" s="1">
        <v>45699</v>
      </c>
      <c r="C151" t="s">
        <v>17</v>
      </c>
      <c r="D151" t="s">
        <v>10</v>
      </c>
      <c r="E151" t="s">
        <v>42</v>
      </c>
      <c r="F151" t="s">
        <v>58</v>
      </c>
      <c r="G151" t="s">
        <v>28</v>
      </c>
      <c r="H151">
        <v>3003</v>
      </c>
      <c r="I151">
        <v>2190</v>
      </c>
      <c r="J151">
        <f>H151-I151</f>
        <v>813</v>
      </c>
      <c r="K151" s="6">
        <f>J151/H151</f>
        <v>0.27072927072927072</v>
      </c>
      <c r="L151" t="str">
        <f t="array" ref="L151">_xlfn.IFS(J151&gt;15000,"Excellent",J151&gt;=5000,"Good",J151&lt;5000,"Poor")</f>
        <v>Poor</v>
      </c>
      <c r="M151">
        <f t="array" ref="M151">_xlfn.XLOOKUP(G151,' Employee_Salary'!$A$1:A155,' Employee_Salary'!$B$1:B155,FALSE)</f>
        <v>45000</v>
      </c>
      <c r="N151" s="9">
        <f>M151/H151</f>
        <v>14.985014985014985</v>
      </c>
      <c r="O151" s="9">
        <f>IF(D151="Electronics",H151*5%,IF(D151="Furniture",H151*8%,0))</f>
        <v>240.24</v>
      </c>
      <c r="P151">
        <f>_xlfn.RANK.EQ(H151,$H$2:$H$201,0)</f>
        <v>200</v>
      </c>
      <c r="Q151">
        <f>SUMIFS($H$2:$H$201,$B$2:$B$201,"&lt;="&amp;B151)</f>
        <v>2264035</v>
      </c>
    </row>
    <row r="152" spans="1:17" x14ac:dyDescent="0.35">
      <c r="A152">
        <v>151</v>
      </c>
      <c r="B152" s="1">
        <v>45680</v>
      </c>
      <c r="C152" t="s">
        <v>37</v>
      </c>
      <c r="D152" t="s">
        <v>18</v>
      </c>
      <c r="E152" t="s">
        <v>26</v>
      </c>
      <c r="F152" t="s">
        <v>44</v>
      </c>
      <c r="G152" t="s">
        <v>13</v>
      </c>
      <c r="H152">
        <v>21525</v>
      </c>
      <c r="I152">
        <v>15170</v>
      </c>
      <c r="J152">
        <f>H152-I152</f>
        <v>6355</v>
      </c>
      <c r="K152" s="6">
        <f>J152/H152</f>
        <v>0.29523809523809524</v>
      </c>
      <c r="L152" t="str">
        <f t="array" ref="L152">_xlfn.IFS(J152&gt;15000,"Excellent",J152&gt;=5000,"Good",J152&lt;5000,"Poor")</f>
        <v>Good</v>
      </c>
      <c r="M152">
        <f t="array" ref="M152">_xlfn.XLOOKUP(G152,' Employee_Salary'!$A$1:A156,' Employee_Salary'!$B$1:B156,FALSE)</f>
        <v>47000</v>
      </c>
      <c r="N152" s="9">
        <f>M152/H152</f>
        <v>2.1835075493612077</v>
      </c>
      <c r="O152" s="9">
        <f>IF(D152="Electronics",H152*5%,IF(D152="Furniture",H152*8%,0))</f>
        <v>1076.25</v>
      </c>
      <c r="P152">
        <f>_xlfn.RANK.EQ(H152,$H$2:$H$201,0)</f>
        <v>56</v>
      </c>
      <c r="Q152">
        <f>SUMIFS($H$2:$H$201,$B$2:$B$201,"&lt;="&amp;B152)</f>
        <v>1349916</v>
      </c>
    </row>
    <row r="153" spans="1:17" x14ac:dyDescent="0.35">
      <c r="A153">
        <v>152</v>
      </c>
      <c r="B153" s="1">
        <v>45685</v>
      </c>
      <c r="C153" t="s">
        <v>9</v>
      </c>
      <c r="D153" t="s">
        <v>10</v>
      </c>
      <c r="E153" t="s">
        <v>11</v>
      </c>
      <c r="F153" t="s">
        <v>12</v>
      </c>
      <c r="G153" t="s">
        <v>35</v>
      </c>
      <c r="H153">
        <v>21312</v>
      </c>
      <c r="I153">
        <v>18369</v>
      </c>
      <c r="J153">
        <f>H153-I153</f>
        <v>2943</v>
      </c>
      <c r="K153" s="6">
        <f>J153/H153</f>
        <v>0.13809121621621623</v>
      </c>
      <c r="L153" t="str">
        <f t="array" ref="L153">_xlfn.IFS(J153&gt;15000,"Excellent",J153&gt;=5000,"Good",J153&lt;5000,"Poor")</f>
        <v>Poor</v>
      </c>
      <c r="M153">
        <f t="array" ref="M153">_xlfn.XLOOKUP(G153,' Employee_Salary'!$A$1:A157,' Employee_Salary'!$B$1:B157,FALSE)</f>
        <v>40000</v>
      </c>
      <c r="N153" s="9">
        <f>M153/H153</f>
        <v>1.8768768768768769</v>
      </c>
      <c r="O153" s="9">
        <f>IF(D153="Electronics",H153*5%,IF(D153="Furniture",H153*8%,0))</f>
        <v>1704.96</v>
      </c>
      <c r="P153">
        <f>_xlfn.RANK.EQ(H153,$H$2:$H$201,0)</f>
        <v>59</v>
      </c>
      <c r="Q153">
        <f>SUMIFS($H$2:$H$201,$B$2:$B$201,"&lt;="&amp;B153)</f>
        <v>1648974</v>
      </c>
    </row>
    <row r="154" spans="1:17" x14ac:dyDescent="0.35">
      <c r="A154">
        <v>153</v>
      </c>
      <c r="B154" s="1">
        <v>45663</v>
      </c>
      <c r="C154" t="s">
        <v>9</v>
      </c>
      <c r="D154" t="s">
        <v>18</v>
      </c>
      <c r="E154" t="s">
        <v>29</v>
      </c>
      <c r="F154" t="s">
        <v>75</v>
      </c>
      <c r="G154" t="s">
        <v>35</v>
      </c>
      <c r="H154">
        <v>8413</v>
      </c>
      <c r="I154">
        <v>6580</v>
      </c>
      <c r="J154">
        <f>H154-I154</f>
        <v>1833</v>
      </c>
      <c r="K154" s="6">
        <f>J154/H154</f>
        <v>0.21787709497206703</v>
      </c>
      <c r="L154" t="str">
        <f t="array" ref="L154">_xlfn.IFS(J154&gt;15000,"Excellent",J154&gt;=5000,"Good",J154&lt;5000,"Poor")</f>
        <v>Poor</v>
      </c>
      <c r="M154">
        <f t="array" ref="M154">_xlfn.XLOOKUP(G154,' Employee_Salary'!$A$1:A158,' Employee_Salary'!$B$1:B158,FALSE)</f>
        <v>40000</v>
      </c>
      <c r="N154" s="9">
        <f>M154/H154</f>
        <v>4.7545465351242129</v>
      </c>
      <c r="O154" s="9">
        <f>IF(D154="Electronics",H154*5%,IF(D154="Furniture",H154*8%,0))</f>
        <v>420.65000000000003</v>
      </c>
      <c r="P154">
        <f>_xlfn.RANK.EQ(H154,$H$2:$H$201,0)</f>
        <v>160</v>
      </c>
      <c r="Q154">
        <f>SUMIFS($H$2:$H$201,$B$2:$B$201,"&lt;="&amp;B154)</f>
        <v>314278</v>
      </c>
    </row>
    <row r="155" spans="1:17" x14ac:dyDescent="0.35">
      <c r="A155">
        <v>154</v>
      </c>
      <c r="B155" s="1">
        <v>45662</v>
      </c>
      <c r="C155" t="s">
        <v>17</v>
      </c>
      <c r="D155" t="s">
        <v>10</v>
      </c>
      <c r="E155" t="s">
        <v>21</v>
      </c>
      <c r="F155" t="s">
        <v>20</v>
      </c>
      <c r="G155" t="s">
        <v>33</v>
      </c>
      <c r="H155">
        <v>4693</v>
      </c>
      <c r="I155">
        <v>3566</v>
      </c>
      <c r="J155">
        <f>H155-I155</f>
        <v>1127</v>
      </c>
      <c r="K155" s="6">
        <f>J155/H155</f>
        <v>0.24014489665459193</v>
      </c>
      <c r="L155" t="str">
        <f t="array" ref="L155">_xlfn.IFS(J155&gt;15000,"Excellent",J155&gt;=5000,"Good",J155&lt;5000,"Poor")</f>
        <v>Poor</v>
      </c>
      <c r="M155">
        <f t="array" ref="M155">_xlfn.XLOOKUP(G155,' Employee_Salary'!$A$1:A159,' Employee_Salary'!$B$1:B159,FALSE)</f>
        <v>42000</v>
      </c>
      <c r="N155" s="9">
        <f>M155/H155</f>
        <v>8.949499254208396</v>
      </c>
      <c r="O155" s="9">
        <f>IF(D155="Electronics",H155*5%,IF(D155="Furniture",H155*8%,0))</f>
        <v>375.44</v>
      </c>
      <c r="P155">
        <f>_xlfn.RANK.EQ(H155,$H$2:$H$201,0)</f>
        <v>190</v>
      </c>
      <c r="Q155">
        <f>SUMIFS($H$2:$H$201,$B$2:$B$201,"&lt;="&amp;B155)</f>
        <v>226223</v>
      </c>
    </row>
    <row r="156" spans="1:17" x14ac:dyDescent="0.35">
      <c r="A156">
        <v>155</v>
      </c>
      <c r="B156" s="1">
        <v>45677</v>
      </c>
      <c r="C156" t="s">
        <v>9</v>
      </c>
      <c r="D156" t="s">
        <v>18</v>
      </c>
      <c r="E156" t="s">
        <v>32</v>
      </c>
      <c r="F156" t="s">
        <v>24</v>
      </c>
      <c r="G156" t="s">
        <v>35</v>
      </c>
      <c r="H156">
        <v>24941</v>
      </c>
      <c r="I156">
        <v>19960</v>
      </c>
      <c r="J156">
        <f>H156-I156</f>
        <v>4981</v>
      </c>
      <c r="K156" s="6">
        <f>J156/H156</f>
        <v>0.19971131871216069</v>
      </c>
      <c r="L156" t="str">
        <f t="array" ref="L156">_xlfn.IFS(J156&gt;15000,"Excellent",J156&gt;=5000,"Good",J156&lt;5000,"Poor")</f>
        <v>Poor</v>
      </c>
      <c r="M156">
        <f t="array" ref="M156">_xlfn.XLOOKUP(G156,' Employee_Salary'!$A$1:A160,' Employee_Salary'!$B$1:B160,FALSE)</f>
        <v>40000</v>
      </c>
      <c r="N156" s="9">
        <f>M156/H156</f>
        <v>1.6037849324405598</v>
      </c>
      <c r="O156" s="9">
        <f>IF(D156="Electronics",H156*5%,IF(D156="Furniture",H156*8%,0))</f>
        <v>1247.0500000000002</v>
      </c>
      <c r="P156">
        <f>_xlfn.RANK.EQ(H156,$H$2:$H$201,0)</f>
        <v>31</v>
      </c>
      <c r="Q156">
        <f>SUMIFS($H$2:$H$201,$B$2:$B$201,"&lt;="&amp;B156)</f>
        <v>1137341</v>
      </c>
    </row>
    <row r="157" spans="1:17" x14ac:dyDescent="0.35">
      <c r="A157">
        <v>156</v>
      </c>
      <c r="B157" s="1">
        <v>45713</v>
      </c>
      <c r="C157" t="s">
        <v>9</v>
      </c>
      <c r="D157" t="s">
        <v>18</v>
      </c>
      <c r="E157" t="s">
        <v>19</v>
      </c>
      <c r="F157" t="s">
        <v>31</v>
      </c>
      <c r="G157" t="s">
        <v>33</v>
      </c>
      <c r="H157">
        <v>22511</v>
      </c>
      <c r="I157">
        <v>16616</v>
      </c>
      <c r="J157">
        <f>H157-I157</f>
        <v>5895</v>
      </c>
      <c r="K157" s="6">
        <f>J157/H157</f>
        <v>0.26187197370174581</v>
      </c>
      <c r="L157" t="str">
        <f t="array" ref="L157">_xlfn.IFS(J157&gt;15000,"Excellent",J157&gt;=5000,"Good",J157&lt;5000,"Poor")</f>
        <v>Good</v>
      </c>
      <c r="M157">
        <f t="array" ref="M157">_xlfn.XLOOKUP(G157,' Employee_Salary'!$A$1:A161,' Employee_Salary'!$B$1:B161,FALSE)</f>
        <v>42000</v>
      </c>
      <c r="N157" s="9">
        <f>M157/H157</f>
        <v>1.8657545200124384</v>
      </c>
      <c r="O157" s="9">
        <f>IF(D157="Electronics",H157*5%,IF(D157="Furniture",H157*8%,0))</f>
        <v>1125.55</v>
      </c>
      <c r="P157">
        <f>_xlfn.RANK.EQ(H157,$H$2:$H$201,0)</f>
        <v>49</v>
      </c>
      <c r="Q157">
        <f>SUMIFS($H$2:$H$201,$B$2:$B$201,"&lt;="&amp;B157)</f>
        <v>3053221</v>
      </c>
    </row>
    <row r="158" spans="1:17" x14ac:dyDescent="0.35">
      <c r="A158">
        <v>157</v>
      </c>
      <c r="B158" s="1">
        <v>45672</v>
      </c>
      <c r="C158" t="s">
        <v>17</v>
      </c>
      <c r="D158" t="s">
        <v>10</v>
      </c>
      <c r="E158" t="s">
        <v>42</v>
      </c>
      <c r="F158" t="s">
        <v>38</v>
      </c>
      <c r="G158" t="s">
        <v>35</v>
      </c>
      <c r="H158">
        <v>13946</v>
      </c>
      <c r="I158">
        <v>12354</v>
      </c>
      <c r="J158">
        <f>H158-I158</f>
        <v>1592</v>
      </c>
      <c r="K158" s="6">
        <f>J158/H158</f>
        <v>0.11415459630001434</v>
      </c>
      <c r="L158" t="str">
        <f t="array" ref="L158">_xlfn.IFS(J158&gt;15000,"Excellent",J158&gt;=5000,"Good",J158&lt;5000,"Poor")</f>
        <v>Poor</v>
      </c>
      <c r="M158">
        <f t="array" ref="M158">_xlfn.XLOOKUP(G158,' Employee_Salary'!$A$1:A162,' Employee_Salary'!$B$1:B162,FALSE)</f>
        <v>40000</v>
      </c>
      <c r="N158" s="9">
        <f>M158/H158</f>
        <v>2.86820593718629</v>
      </c>
      <c r="O158" s="9">
        <f>IF(D158="Electronics",H158*5%,IF(D158="Furniture",H158*8%,0))</f>
        <v>1115.68</v>
      </c>
      <c r="P158">
        <f>_xlfn.RANK.EQ(H158,$H$2:$H$201,0)</f>
        <v>113</v>
      </c>
      <c r="Q158">
        <f>SUMIFS($H$2:$H$201,$B$2:$B$201,"&lt;="&amp;B158)</f>
        <v>876591</v>
      </c>
    </row>
    <row r="159" spans="1:17" x14ac:dyDescent="0.35">
      <c r="A159">
        <v>158</v>
      </c>
      <c r="B159" s="1">
        <v>45672</v>
      </c>
      <c r="C159" t="s">
        <v>9</v>
      </c>
      <c r="D159" t="s">
        <v>10</v>
      </c>
      <c r="E159" t="s">
        <v>21</v>
      </c>
      <c r="F159" t="s">
        <v>63</v>
      </c>
      <c r="G159" t="s">
        <v>23</v>
      </c>
      <c r="H159">
        <v>21242</v>
      </c>
      <c r="I159">
        <v>14098</v>
      </c>
      <c r="J159">
        <f>H159-I159</f>
        <v>7144</v>
      </c>
      <c r="K159" s="6">
        <f>J159/H159</f>
        <v>0.3363148479427549</v>
      </c>
      <c r="L159" t="str">
        <f t="array" ref="L159">_xlfn.IFS(J159&gt;15000,"Excellent",J159&gt;=5000,"Good",J159&lt;5000,"Poor")</f>
        <v>Good</v>
      </c>
      <c r="M159">
        <f t="array" ref="M159">_xlfn.XLOOKUP(G159,' Employee_Salary'!$A$1:A163,' Employee_Salary'!$B$1:B163,FALSE)</f>
        <v>43000</v>
      </c>
      <c r="N159" s="9">
        <f>M159/H159</f>
        <v>2.0242914979757085</v>
      </c>
      <c r="O159" s="9">
        <f>IF(D159="Electronics",H159*5%,IF(D159="Furniture",H159*8%,0))</f>
        <v>1699.3600000000001</v>
      </c>
      <c r="P159">
        <f>_xlfn.RANK.EQ(H159,$H$2:$H$201,0)</f>
        <v>60</v>
      </c>
      <c r="Q159">
        <f>SUMIFS($H$2:$H$201,$B$2:$B$201,"&lt;="&amp;B159)</f>
        <v>876591</v>
      </c>
    </row>
    <row r="160" spans="1:17" x14ac:dyDescent="0.35">
      <c r="A160">
        <v>159</v>
      </c>
      <c r="B160" s="1">
        <v>45697</v>
      </c>
      <c r="C160" t="s">
        <v>9</v>
      </c>
      <c r="D160" t="s">
        <v>18</v>
      </c>
      <c r="E160" t="s">
        <v>32</v>
      </c>
      <c r="F160" t="s">
        <v>31</v>
      </c>
      <c r="G160" t="s">
        <v>28</v>
      </c>
      <c r="H160">
        <v>22822</v>
      </c>
      <c r="I160">
        <v>18664</v>
      </c>
      <c r="J160">
        <f>H160-I160</f>
        <v>4158</v>
      </c>
      <c r="K160" s="6">
        <f>J160/H160</f>
        <v>0.18219262115502585</v>
      </c>
      <c r="L160" t="str">
        <f t="array" ref="L160">_xlfn.IFS(J160&gt;15000,"Excellent",J160&gt;=5000,"Good",J160&lt;5000,"Poor")</f>
        <v>Poor</v>
      </c>
      <c r="M160">
        <f t="array" ref="M160">_xlfn.XLOOKUP(G160,' Employee_Salary'!$A$1:A164,' Employee_Salary'!$B$1:B164,FALSE)</f>
        <v>45000</v>
      </c>
      <c r="N160" s="9">
        <f>M160/H160</f>
        <v>1.9717816142318816</v>
      </c>
      <c r="O160" s="9">
        <f>IF(D160="Electronics",H160*5%,IF(D160="Furniture",H160*8%,0))</f>
        <v>1141.1000000000001</v>
      </c>
      <c r="P160">
        <f>_xlfn.RANK.EQ(H160,$H$2:$H$201,0)</f>
        <v>44</v>
      </c>
      <c r="Q160">
        <f>SUMIFS($H$2:$H$201,$B$2:$B$201,"&lt;="&amp;B160)</f>
        <v>2181315</v>
      </c>
    </row>
    <row r="161" spans="1:17" x14ac:dyDescent="0.35">
      <c r="A161">
        <v>160</v>
      </c>
      <c r="B161" s="1">
        <v>45679</v>
      </c>
      <c r="C161" t="s">
        <v>14</v>
      </c>
      <c r="D161" t="s">
        <v>10</v>
      </c>
      <c r="E161" t="s">
        <v>11</v>
      </c>
      <c r="F161" t="s">
        <v>64</v>
      </c>
      <c r="G161" t="s">
        <v>23</v>
      </c>
      <c r="H161">
        <v>14825</v>
      </c>
      <c r="I161">
        <v>10070</v>
      </c>
      <c r="J161">
        <f>H161-I161</f>
        <v>4755</v>
      </c>
      <c r="K161" s="6">
        <f>J161/H161</f>
        <v>0.32074198988195618</v>
      </c>
      <c r="L161" t="str">
        <f t="array" ref="L161">_xlfn.IFS(J161&gt;15000,"Excellent",J161&gt;=5000,"Good",J161&lt;5000,"Poor")</f>
        <v>Poor</v>
      </c>
      <c r="M161">
        <f t="array" ref="M161">_xlfn.XLOOKUP(G161,' Employee_Salary'!$A$1:A165,' Employee_Salary'!$B$1:B165,FALSE)</f>
        <v>43000</v>
      </c>
      <c r="N161" s="9">
        <f>M161/H161</f>
        <v>2.900505902192243</v>
      </c>
      <c r="O161" s="9">
        <f>IF(D161="Electronics",H161*5%,IF(D161="Furniture",H161*8%,0))</f>
        <v>1186</v>
      </c>
      <c r="P161">
        <f>_xlfn.RANK.EQ(H161,$H$2:$H$201,0)</f>
        <v>109</v>
      </c>
      <c r="Q161">
        <f>SUMIFS($H$2:$H$201,$B$2:$B$201,"&lt;="&amp;B161)</f>
        <v>1247618</v>
      </c>
    </row>
    <row r="162" spans="1:17" x14ac:dyDescent="0.35">
      <c r="A162">
        <v>161</v>
      </c>
      <c r="B162" s="1">
        <v>45666</v>
      </c>
      <c r="C162" t="s">
        <v>9</v>
      </c>
      <c r="D162" t="s">
        <v>18</v>
      </c>
      <c r="E162" t="s">
        <v>29</v>
      </c>
      <c r="F162" t="s">
        <v>22</v>
      </c>
      <c r="G162" t="s">
        <v>28</v>
      </c>
      <c r="H162">
        <v>10106</v>
      </c>
      <c r="I162">
        <v>9039</v>
      </c>
      <c r="J162">
        <f>H162-I162</f>
        <v>1067</v>
      </c>
      <c r="K162" s="6">
        <f>J162/H162</f>
        <v>0.10558084306352662</v>
      </c>
      <c r="L162" t="str">
        <f t="array" ref="L162">_xlfn.IFS(J162&gt;15000,"Excellent",J162&gt;=5000,"Good",J162&lt;5000,"Poor")</f>
        <v>Poor</v>
      </c>
      <c r="M162">
        <f t="array" ref="M162">_xlfn.XLOOKUP(G162,' Employee_Salary'!$A$1:A166,' Employee_Salary'!$B$1:B166,FALSE)</f>
        <v>45000</v>
      </c>
      <c r="N162" s="9">
        <f>M162/H162</f>
        <v>4.4528003166435779</v>
      </c>
      <c r="O162" s="9">
        <f>IF(D162="Electronics",H162*5%,IF(D162="Furniture",H162*8%,0))</f>
        <v>505.3</v>
      </c>
      <c r="P162">
        <f>_xlfn.RANK.EQ(H162,$H$2:$H$201,0)</f>
        <v>150</v>
      </c>
      <c r="Q162">
        <f>SUMIFS($H$2:$H$201,$B$2:$B$201,"&lt;="&amp;B162)</f>
        <v>480218</v>
      </c>
    </row>
    <row r="163" spans="1:17" x14ac:dyDescent="0.35">
      <c r="A163">
        <v>162</v>
      </c>
      <c r="B163" s="1">
        <v>45666</v>
      </c>
      <c r="C163" t="s">
        <v>17</v>
      </c>
      <c r="D163" t="s">
        <v>18</v>
      </c>
      <c r="E163" t="s">
        <v>29</v>
      </c>
      <c r="F163" t="s">
        <v>30</v>
      </c>
      <c r="G163" t="s">
        <v>33</v>
      </c>
      <c r="H163">
        <v>24181</v>
      </c>
      <c r="I163">
        <v>17254</v>
      </c>
      <c r="J163">
        <f>H163-I163</f>
        <v>6927</v>
      </c>
      <c r="K163" s="6">
        <f>J163/H163</f>
        <v>0.28646457962863403</v>
      </c>
      <c r="L163" t="str">
        <f t="array" ref="L163">_xlfn.IFS(J163&gt;15000,"Excellent",J163&gt;=5000,"Good",J163&lt;5000,"Poor")</f>
        <v>Good</v>
      </c>
      <c r="M163">
        <f t="array" ref="M163">_xlfn.XLOOKUP(G163,' Employee_Salary'!$A$1:A167,' Employee_Salary'!$B$1:B167,FALSE)</f>
        <v>42000</v>
      </c>
      <c r="N163" s="9">
        <f>M163/H163</f>
        <v>1.7369008725859145</v>
      </c>
      <c r="O163" s="9">
        <f>IF(D163="Electronics",H163*5%,IF(D163="Furniture",H163*8%,0))</f>
        <v>1209.05</v>
      </c>
      <c r="P163">
        <f>_xlfn.RANK.EQ(H163,$H$2:$H$201,0)</f>
        <v>35</v>
      </c>
      <c r="Q163">
        <f>SUMIFS($H$2:$H$201,$B$2:$B$201,"&lt;="&amp;B163)</f>
        <v>480218</v>
      </c>
    </row>
    <row r="164" spans="1:17" x14ac:dyDescent="0.35">
      <c r="A164">
        <v>163</v>
      </c>
      <c r="B164" s="1">
        <v>45691</v>
      </c>
      <c r="C164" t="s">
        <v>37</v>
      </c>
      <c r="D164" t="s">
        <v>10</v>
      </c>
      <c r="E164" t="s">
        <v>11</v>
      </c>
      <c r="F164" t="s">
        <v>73</v>
      </c>
      <c r="G164" t="s">
        <v>23</v>
      </c>
      <c r="H164">
        <v>8789</v>
      </c>
      <c r="I164">
        <v>6768</v>
      </c>
      <c r="J164">
        <f>H164-I164</f>
        <v>2021</v>
      </c>
      <c r="K164" s="6">
        <f>J164/H164</f>
        <v>0.22994652406417113</v>
      </c>
      <c r="L164" t="str">
        <f t="array" ref="L164">_xlfn.IFS(J164&gt;15000,"Excellent",J164&gt;=5000,"Good",J164&lt;5000,"Poor")</f>
        <v>Poor</v>
      </c>
      <c r="M164">
        <f t="array" ref="M164">_xlfn.XLOOKUP(G164,' Employee_Salary'!$A$1:A168,' Employee_Salary'!$B$1:B168,FALSE)</f>
        <v>43000</v>
      </c>
      <c r="N164" s="9">
        <f>M164/H164</f>
        <v>4.8924792354078965</v>
      </c>
      <c r="O164" s="9">
        <f>IF(D164="Electronics",H164*5%,IF(D164="Furniture",H164*8%,0))</f>
        <v>703.12</v>
      </c>
      <c r="P164">
        <f>_xlfn.RANK.EQ(H164,$H$2:$H$201,0)</f>
        <v>159</v>
      </c>
      <c r="Q164">
        <f>SUMIFS($H$2:$H$201,$B$2:$B$201,"&lt;="&amp;B164)</f>
        <v>1908942</v>
      </c>
    </row>
    <row r="165" spans="1:17" x14ac:dyDescent="0.35">
      <c r="A165">
        <v>164</v>
      </c>
      <c r="B165" s="1">
        <v>45658</v>
      </c>
      <c r="C165" t="s">
        <v>17</v>
      </c>
      <c r="D165" t="s">
        <v>10</v>
      </c>
      <c r="E165" t="s">
        <v>42</v>
      </c>
      <c r="F165" t="s">
        <v>56</v>
      </c>
      <c r="G165" t="s">
        <v>23</v>
      </c>
      <c r="H165">
        <v>17609</v>
      </c>
      <c r="I165">
        <v>13022</v>
      </c>
      <c r="J165">
        <f>H165-I165</f>
        <v>4587</v>
      </c>
      <c r="K165" s="6">
        <f>J165/H165</f>
        <v>0.26049179396899313</v>
      </c>
      <c r="L165" t="str">
        <f t="array" ref="L165">_xlfn.IFS(J165&gt;15000,"Excellent",J165&gt;=5000,"Good",J165&lt;5000,"Poor")</f>
        <v>Poor</v>
      </c>
      <c r="M165">
        <f t="array" ref="M165">_xlfn.XLOOKUP(G165,' Employee_Salary'!$A$1:A169,' Employee_Salary'!$B$1:B169,FALSE)</f>
        <v>43000</v>
      </c>
      <c r="N165" s="9">
        <f>M165/H165</f>
        <v>2.4419331023908231</v>
      </c>
      <c r="O165" s="9">
        <f>IF(D165="Electronics",H165*5%,IF(D165="Furniture",H165*8%,0))</f>
        <v>1408.72</v>
      </c>
      <c r="P165">
        <f>_xlfn.RANK.EQ(H165,$H$2:$H$201,0)</f>
        <v>89</v>
      </c>
      <c r="Q165">
        <f>SUMIFS($H$2:$H$201,$B$2:$B$201,"&lt;="&amp;B165)</f>
        <v>49160</v>
      </c>
    </row>
    <row r="166" spans="1:17" x14ac:dyDescent="0.35">
      <c r="A166">
        <v>165</v>
      </c>
      <c r="B166" s="1">
        <v>45712</v>
      </c>
      <c r="C166" t="s">
        <v>9</v>
      </c>
      <c r="D166" t="s">
        <v>10</v>
      </c>
      <c r="E166" t="s">
        <v>42</v>
      </c>
      <c r="F166" t="s">
        <v>72</v>
      </c>
      <c r="G166" t="s">
        <v>23</v>
      </c>
      <c r="H166">
        <v>12827</v>
      </c>
      <c r="I166">
        <v>10421</v>
      </c>
      <c r="J166">
        <f>H166-I166</f>
        <v>2406</v>
      </c>
      <c r="K166" s="6">
        <f>J166/H166</f>
        <v>0.18757308801746317</v>
      </c>
      <c r="L166" t="str">
        <f t="array" ref="L166">_xlfn.IFS(J166&gt;15000,"Excellent",J166&gt;=5000,"Good",J166&lt;5000,"Poor")</f>
        <v>Poor</v>
      </c>
      <c r="M166">
        <f t="array" ref="M166">_xlfn.XLOOKUP(G166,' Employee_Salary'!$A$1:A170,' Employee_Salary'!$B$1:B170,FALSE)</f>
        <v>43000</v>
      </c>
      <c r="N166" s="9">
        <f>M166/H166</f>
        <v>3.3523037343104387</v>
      </c>
      <c r="O166" s="9">
        <f>IF(D166="Electronics",H166*5%,IF(D166="Furniture",H166*8%,0))</f>
        <v>1026.1600000000001</v>
      </c>
      <c r="P166">
        <f>_xlfn.RANK.EQ(H166,$H$2:$H$201,0)</f>
        <v>128</v>
      </c>
      <c r="Q166">
        <f>SUMIFS($H$2:$H$201,$B$2:$B$201,"&lt;="&amp;B166)</f>
        <v>2962959</v>
      </c>
    </row>
    <row r="167" spans="1:17" x14ac:dyDescent="0.35">
      <c r="A167">
        <v>166</v>
      </c>
      <c r="B167" s="1">
        <v>45658</v>
      </c>
      <c r="C167" t="s">
        <v>37</v>
      </c>
      <c r="D167" t="s">
        <v>10</v>
      </c>
      <c r="E167" t="s">
        <v>11</v>
      </c>
      <c r="F167" t="s">
        <v>41</v>
      </c>
      <c r="G167" t="s">
        <v>13</v>
      </c>
      <c r="H167">
        <v>7741</v>
      </c>
      <c r="I167">
        <v>6783</v>
      </c>
      <c r="J167">
        <f>H167-I167</f>
        <v>958</v>
      </c>
      <c r="K167" s="6">
        <f>J167/H167</f>
        <v>0.12375662059165482</v>
      </c>
      <c r="L167" t="str">
        <f t="array" ref="L167">_xlfn.IFS(J167&gt;15000,"Excellent",J167&gt;=5000,"Good",J167&lt;5000,"Poor")</f>
        <v>Poor</v>
      </c>
      <c r="M167">
        <f t="array" ref="M167">_xlfn.XLOOKUP(G167,' Employee_Salary'!$A$1:A171,' Employee_Salary'!$B$1:B171,FALSE)</f>
        <v>47000</v>
      </c>
      <c r="N167" s="9">
        <f>M167/H167</f>
        <v>6.0715669810102053</v>
      </c>
      <c r="O167" s="9">
        <f>IF(D167="Electronics",H167*5%,IF(D167="Furniture",H167*8%,0))</f>
        <v>619.28</v>
      </c>
      <c r="P167">
        <f>_xlfn.RANK.EQ(H167,$H$2:$H$201,0)</f>
        <v>167</v>
      </c>
      <c r="Q167">
        <f>SUMIFS($H$2:$H$201,$B$2:$B$201,"&lt;="&amp;B167)</f>
        <v>49160</v>
      </c>
    </row>
    <row r="168" spans="1:17" x14ac:dyDescent="0.35">
      <c r="A168">
        <v>167</v>
      </c>
      <c r="B168" s="1">
        <v>45662</v>
      </c>
      <c r="C168" t="s">
        <v>37</v>
      </c>
      <c r="D168" t="s">
        <v>18</v>
      </c>
      <c r="E168" t="s">
        <v>29</v>
      </c>
      <c r="F168" t="s">
        <v>45</v>
      </c>
      <c r="G168" t="s">
        <v>23</v>
      </c>
      <c r="H168">
        <v>27959</v>
      </c>
      <c r="I168">
        <v>23794</v>
      </c>
      <c r="J168">
        <f>H168-I168</f>
        <v>4165</v>
      </c>
      <c r="K168" s="6">
        <f>J168/H168</f>
        <v>0.14896813190743588</v>
      </c>
      <c r="L168" t="str">
        <f t="array" ref="L168">_xlfn.IFS(J168&gt;15000,"Excellent",J168&gt;=5000,"Good",J168&lt;5000,"Poor")</f>
        <v>Poor</v>
      </c>
      <c r="M168">
        <f t="array" ref="M168">_xlfn.XLOOKUP(G168,' Employee_Salary'!$A$1:A172,' Employee_Salary'!$B$1:B172,FALSE)</f>
        <v>43000</v>
      </c>
      <c r="N168" s="9">
        <f>M168/H168</f>
        <v>1.5379663078078616</v>
      </c>
      <c r="O168" s="9">
        <f>IF(D168="Electronics",H168*5%,IF(D168="Furniture",H168*8%,0))</f>
        <v>1397.95</v>
      </c>
      <c r="P168">
        <f>_xlfn.RANK.EQ(H168,$H$2:$H$201,0)</f>
        <v>13</v>
      </c>
      <c r="Q168">
        <f>SUMIFS($H$2:$H$201,$B$2:$B$201,"&lt;="&amp;B168)</f>
        <v>226223</v>
      </c>
    </row>
    <row r="169" spans="1:17" x14ac:dyDescent="0.35">
      <c r="A169">
        <v>168</v>
      </c>
      <c r="B169" s="1">
        <v>45701</v>
      </c>
      <c r="C169" t="s">
        <v>9</v>
      </c>
      <c r="D169" t="s">
        <v>10</v>
      </c>
      <c r="E169" t="s">
        <v>15</v>
      </c>
      <c r="F169" t="s">
        <v>73</v>
      </c>
      <c r="G169" t="s">
        <v>13</v>
      </c>
      <c r="H169">
        <v>9260</v>
      </c>
      <c r="I169">
        <v>8117</v>
      </c>
      <c r="J169">
        <f>H169-I169</f>
        <v>1143</v>
      </c>
      <c r="K169" s="6">
        <f>J169/H169</f>
        <v>0.12343412526997841</v>
      </c>
      <c r="L169" t="str">
        <f t="array" ref="L169">_xlfn.IFS(J169&gt;15000,"Excellent",J169&gt;=5000,"Good",J169&lt;5000,"Poor")</f>
        <v>Poor</v>
      </c>
      <c r="M169">
        <f t="array" ref="M169">_xlfn.XLOOKUP(G169,' Employee_Salary'!$A$1:A173,' Employee_Salary'!$B$1:B173,FALSE)</f>
        <v>47000</v>
      </c>
      <c r="N169" s="9">
        <f>M169/H169</f>
        <v>5.0755939524838016</v>
      </c>
      <c r="O169" s="9">
        <f>IF(D169="Electronics",H169*5%,IF(D169="Furniture",H169*8%,0))</f>
        <v>740.80000000000007</v>
      </c>
      <c r="P169">
        <f>_xlfn.RANK.EQ(H169,$H$2:$H$201,0)</f>
        <v>154</v>
      </c>
      <c r="Q169">
        <f>SUMIFS($H$2:$H$201,$B$2:$B$201,"&lt;="&amp;B169)</f>
        <v>2376415</v>
      </c>
    </row>
    <row r="170" spans="1:17" x14ac:dyDescent="0.35">
      <c r="A170">
        <v>169</v>
      </c>
      <c r="B170" s="1">
        <v>45701</v>
      </c>
      <c r="C170" t="s">
        <v>37</v>
      </c>
      <c r="D170" t="s">
        <v>18</v>
      </c>
      <c r="E170" t="s">
        <v>32</v>
      </c>
      <c r="F170" t="s">
        <v>59</v>
      </c>
      <c r="G170" t="s">
        <v>13</v>
      </c>
      <c r="H170">
        <v>23426</v>
      </c>
      <c r="I170">
        <v>18470</v>
      </c>
      <c r="J170">
        <f>H170-I170</f>
        <v>4956</v>
      </c>
      <c r="K170" s="6">
        <f>J170/H170</f>
        <v>0.21155980534448904</v>
      </c>
      <c r="L170" t="str">
        <f t="array" ref="L170">_xlfn.IFS(J170&gt;15000,"Excellent",J170&gt;=5000,"Good",J170&lt;5000,"Poor")</f>
        <v>Poor</v>
      </c>
      <c r="M170">
        <f t="array" ref="M170">_xlfn.XLOOKUP(G170,' Employee_Salary'!$A$1:A174,' Employee_Salary'!$B$1:B174,FALSE)</f>
        <v>47000</v>
      </c>
      <c r="N170" s="9">
        <f>M170/H170</f>
        <v>2.0063177665841372</v>
      </c>
      <c r="O170" s="9">
        <f>IF(D170="Electronics",H170*5%,IF(D170="Furniture",H170*8%,0))</f>
        <v>1171.3</v>
      </c>
      <c r="P170">
        <f>_xlfn.RANK.EQ(H170,$H$2:$H$201,0)</f>
        <v>42</v>
      </c>
      <c r="Q170">
        <f>SUMIFS($H$2:$H$201,$B$2:$B$201,"&lt;="&amp;B170)</f>
        <v>2376415</v>
      </c>
    </row>
    <row r="171" spans="1:17" x14ac:dyDescent="0.35">
      <c r="A171">
        <v>170</v>
      </c>
      <c r="B171" s="1">
        <v>45707</v>
      </c>
      <c r="C171" t="s">
        <v>17</v>
      </c>
      <c r="D171" t="s">
        <v>10</v>
      </c>
      <c r="E171" t="s">
        <v>11</v>
      </c>
      <c r="F171" t="s">
        <v>69</v>
      </c>
      <c r="G171" t="s">
        <v>28</v>
      </c>
      <c r="H171">
        <v>9672</v>
      </c>
      <c r="I171">
        <v>7495</v>
      </c>
      <c r="J171">
        <f>H171-I171</f>
        <v>2177</v>
      </c>
      <c r="K171" s="6">
        <f>J171/H171</f>
        <v>0.22508271298593879</v>
      </c>
      <c r="L171" t="str">
        <f t="array" ref="L171">_xlfn.IFS(J171&gt;15000,"Excellent",J171&gt;=5000,"Good",J171&lt;5000,"Poor")</f>
        <v>Poor</v>
      </c>
      <c r="M171">
        <f t="array" ref="M171">_xlfn.XLOOKUP(G171,' Employee_Salary'!$A$1:A175,' Employee_Salary'!$B$1:B175,FALSE)</f>
        <v>45000</v>
      </c>
      <c r="N171" s="9">
        <f>M171/H171</f>
        <v>4.6526054590570718</v>
      </c>
      <c r="O171" s="9">
        <f>IF(D171="Electronics",H171*5%,IF(D171="Furniture",H171*8%,0))</f>
        <v>773.76</v>
      </c>
      <c r="P171">
        <f>_xlfn.RANK.EQ(H171,$H$2:$H$201,0)</f>
        <v>151</v>
      </c>
      <c r="Q171">
        <f>SUMIFS($H$2:$H$201,$B$2:$B$201,"&lt;="&amp;B171)</f>
        <v>2808628</v>
      </c>
    </row>
    <row r="172" spans="1:17" x14ac:dyDescent="0.35">
      <c r="A172">
        <v>171</v>
      </c>
      <c r="B172" s="1">
        <v>45671</v>
      </c>
      <c r="C172" t="s">
        <v>14</v>
      </c>
      <c r="D172" t="s">
        <v>10</v>
      </c>
      <c r="E172" t="s">
        <v>42</v>
      </c>
      <c r="F172" t="s">
        <v>67</v>
      </c>
      <c r="G172" t="s">
        <v>35</v>
      </c>
      <c r="H172">
        <v>15655</v>
      </c>
      <c r="I172">
        <v>12741</v>
      </c>
      <c r="J172">
        <f>H172-I172</f>
        <v>2914</v>
      </c>
      <c r="K172" s="6">
        <f>J172/H172</f>
        <v>0.18613861386138614</v>
      </c>
      <c r="L172" t="str">
        <f t="array" ref="L172">_xlfn.IFS(J172&gt;15000,"Excellent",J172&gt;=5000,"Good",J172&lt;5000,"Poor")</f>
        <v>Poor</v>
      </c>
      <c r="M172">
        <f t="array" ref="M172">_xlfn.XLOOKUP(G172,' Employee_Salary'!$A$1:A176,' Employee_Salary'!$B$1:B176,FALSE)</f>
        <v>40000</v>
      </c>
      <c r="N172" s="9">
        <f>M172/H172</f>
        <v>2.5550942190993293</v>
      </c>
      <c r="O172" s="9">
        <f>IF(D172="Electronics",H172*5%,IF(D172="Furniture",H172*8%,0))</f>
        <v>1252.4000000000001</v>
      </c>
      <c r="P172">
        <f>_xlfn.RANK.EQ(H172,$H$2:$H$201,0)</f>
        <v>106</v>
      </c>
      <c r="Q172">
        <f>SUMIFS($H$2:$H$201,$B$2:$B$201,"&lt;="&amp;B172)</f>
        <v>841403</v>
      </c>
    </row>
    <row r="173" spans="1:17" x14ac:dyDescent="0.35">
      <c r="A173">
        <v>172</v>
      </c>
      <c r="B173" s="1">
        <v>45694</v>
      </c>
      <c r="C173" t="s">
        <v>14</v>
      </c>
      <c r="D173" t="s">
        <v>10</v>
      </c>
      <c r="E173" t="s">
        <v>21</v>
      </c>
      <c r="F173" t="s">
        <v>30</v>
      </c>
      <c r="G173" t="s">
        <v>33</v>
      </c>
      <c r="H173">
        <v>4896</v>
      </c>
      <c r="I173">
        <v>3209</v>
      </c>
      <c r="J173">
        <f>H173-I173</f>
        <v>1687</v>
      </c>
      <c r="K173" s="6">
        <f>J173/H173</f>
        <v>0.34456699346405228</v>
      </c>
      <c r="L173" t="str">
        <f t="array" ref="L173">_xlfn.IFS(J173&gt;15000,"Excellent",J173&gt;=5000,"Good",J173&lt;5000,"Poor")</f>
        <v>Poor</v>
      </c>
      <c r="M173">
        <f t="array" ref="M173">_xlfn.XLOOKUP(G173,' Employee_Salary'!$A$1:A177,' Employee_Salary'!$B$1:B177,FALSE)</f>
        <v>42000</v>
      </c>
      <c r="N173" s="9">
        <f>M173/H173</f>
        <v>8.5784313725490193</v>
      </c>
      <c r="O173" s="9">
        <f>IF(D173="Electronics",H173*5%,IF(D173="Furniture",H173*8%,0))</f>
        <v>391.68</v>
      </c>
      <c r="P173">
        <f>_xlfn.RANK.EQ(H173,$H$2:$H$201,0)</f>
        <v>188</v>
      </c>
      <c r="Q173">
        <f>SUMIFS($H$2:$H$201,$B$2:$B$201,"&lt;="&amp;B173)</f>
        <v>1993799</v>
      </c>
    </row>
    <row r="174" spans="1:17" x14ac:dyDescent="0.35">
      <c r="A174">
        <v>173</v>
      </c>
      <c r="B174" s="1">
        <v>45681</v>
      </c>
      <c r="C174" t="s">
        <v>17</v>
      </c>
      <c r="D174" t="s">
        <v>10</v>
      </c>
      <c r="E174" t="s">
        <v>15</v>
      </c>
      <c r="F174" t="s">
        <v>77</v>
      </c>
      <c r="G174" t="s">
        <v>13</v>
      </c>
      <c r="H174">
        <v>26624</v>
      </c>
      <c r="I174">
        <v>22645</v>
      </c>
      <c r="J174">
        <f>H174-I174</f>
        <v>3979</v>
      </c>
      <c r="K174" s="6">
        <f>J174/H174</f>
        <v>0.14945162259615385</v>
      </c>
      <c r="L174" t="str">
        <f t="array" ref="L174">_xlfn.IFS(J174&gt;15000,"Excellent",J174&gt;=5000,"Good",J174&lt;5000,"Poor")</f>
        <v>Poor</v>
      </c>
      <c r="M174">
        <f t="array" ref="M174">_xlfn.XLOOKUP(G174,' Employee_Salary'!$A$1:A178,' Employee_Salary'!$B$1:B178,FALSE)</f>
        <v>47000</v>
      </c>
      <c r="N174" s="9">
        <f>M174/H174</f>
        <v>1.7653245192307692</v>
      </c>
      <c r="O174" s="9">
        <f>IF(D174="Electronics",H174*5%,IF(D174="Furniture",H174*8%,0))</f>
        <v>2129.92</v>
      </c>
      <c r="P174">
        <f>_xlfn.RANK.EQ(H174,$H$2:$H$201,0)</f>
        <v>23</v>
      </c>
      <c r="Q174">
        <f>SUMIFS($H$2:$H$201,$B$2:$B$201,"&lt;="&amp;B174)</f>
        <v>1463299</v>
      </c>
    </row>
    <row r="175" spans="1:17" x14ac:dyDescent="0.35">
      <c r="A175">
        <v>174</v>
      </c>
      <c r="B175" s="1">
        <v>45663</v>
      </c>
      <c r="C175" t="s">
        <v>9</v>
      </c>
      <c r="D175" t="s">
        <v>10</v>
      </c>
      <c r="E175" t="s">
        <v>11</v>
      </c>
      <c r="F175" t="s">
        <v>50</v>
      </c>
      <c r="G175" t="s">
        <v>28</v>
      </c>
      <c r="H175">
        <v>12390</v>
      </c>
      <c r="I175">
        <v>7893</v>
      </c>
      <c r="J175">
        <f>H175-I175</f>
        <v>4497</v>
      </c>
      <c r="K175" s="6">
        <f>J175/H175</f>
        <v>0.36295399515738497</v>
      </c>
      <c r="L175" t="str">
        <f t="array" ref="L175">_xlfn.IFS(J175&gt;15000,"Excellent",J175&gt;=5000,"Good",J175&lt;5000,"Poor")</f>
        <v>Poor</v>
      </c>
      <c r="M175">
        <f t="array" ref="M175">_xlfn.XLOOKUP(G175,' Employee_Salary'!$A$1:A179,' Employee_Salary'!$B$1:B179,FALSE)</f>
        <v>45000</v>
      </c>
      <c r="N175" s="9">
        <f>M175/H175</f>
        <v>3.6319612590799033</v>
      </c>
      <c r="O175" s="9">
        <f>IF(D175="Electronics",H175*5%,IF(D175="Furniture",H175*8%,0))</f>
        <v>991.2</v>
      </c>
      <c r="P175">
        <f>_xlfn.RANK.EQ(H175,$H$2:$H$201,0)</f>
        <v>134</v>
      </c>
      <c r="Q175">
        <f>SUMIFS($H$2:$H$201,$B$2:$B$201,"&lt;="&amp;B175)</f>
        <v>314278</v>
      </c>
    </row>
    <row r="176" spans="1:17" x14ac:dyDescent="0.35">
      <c r="A176">
        <v>175</v>
      </c>
      <c r="B176" s="1">
        <v>45666</v>
      </c>
      <c r="C176" t="s">
        <v>37</v>
      </c>
      <c r="D176" t="s">
        <v>18</v>
      </c>
      <c r="E176" t="s">
        <v>32</v>
      </c>
      <c r="F176" t="s">
        <v>41</v>
      </c>
      <c r="G176" t="s">
        <v>23</v>
      </c>
      <c r="H176">
        <v>16540</v>
      </c>
      <c r="I176">
        <v>13760</v>
      </c>
      <c r="J176">
        <f>H176-I176</f>
        <v>2780</v>
      </c>
      <c r="K176" s="6">
        <f>J176/H176</f>
        <v>0.16807738814993953</v>
      </c>
      <c r="L176" t="str">
        <f t="array" ref="L176">_xlfn.IFS(J176&gt;15000,"Excellent",J176&gt;=5000,"Good",J176&lt;5000,"Poor")</f>
        <v>Poor</v>
      </c>
      <c r="M176">
        <f t="array" ref="M176">_xlfn.XLOOKUP(G176,' Employee_Salary'!$A$1:A180,' Employee_Salary'!$B$1:B180,FALSE)</f>
        <v>43000</v>
      </c>
      <c r="N176" s="9">
        <f>M176/H176</f>
        <v>2.5997581620314389</v>
      </c>
      <c r="O176" s="9">
        <f>IF(D176="Electronics",H176*5%,IF(D176="Furniture",H176*8%,0))</f>
        <v>827</v>
      </c>
      <c r="P176">
        <f>_xlfn.RANK.EQ(H176,$H$2:$H$201,0)</f>
        <v>102</v>
      </c>
      <c r="Q176">
        <f>SUMIFS($H$2:$H$201,$B$2:$B$201,"&lt;="&amp;B176)</f>
        <v>480218</v>
      </c>
    </row>
    <row r="177" spans="1:17" x14ac:dyDescent="0.35">
      <c r="A177">
        <v>176</v>
      </c>
      <c r="B177" s="1">
        <v>45663</v>
      </c>
      <c r="C177" t="s">
        <v>9</v>
      </c>
      <c r="D177" t="s">
        <v>10</v>
      </c>
      <c r="E177" t="s">
        <v>42</v>
      </c>
      <c r="F177" t="s">
        <v>22</v>
      </c>
      <c r="G177" t="s">
        <v>13</v>
      </c>
      <c r="H177">
        <v>10981</v>
      </c>
      <c r="I177">
        <v>7782</v>
      </c>
      <c r="J177">
        <f>H177-I177</f>
        <v>3199</v>
      </c>
      <c r="K177" s="6">
        <f>J177/H177</f>
        <v>0.29132137328112195</v>
      </c>
      <c r="L177" t="str">
        <f t="array" ref="L177">_xlfn.IFS(J177&gt;15000,"Excellent",J177&gt;=5000,"Good",J177&lt;5000,"Poor")</f>
        <v>Poor</v>
      </c>
      <c r="M177">
        <f t="array" ref="M177">_xlfn.XLOOKUP(G177,' Employee_Salary'!$A$1:A181,' Employee_Salary'!$B$1:B181,FALSE)</f>
        <v>47000</v>
      </c>
      <c r="N177" s="9">
        <f>M177/H177</f>
        <v>4.2801202076313629</v>
      </c>
      <c r="O177" s="9">
        <f>IF(D177="Electronics",H177*5%,IF(D177="Furniture",H177*8%,0))</f>
        <v>878.48</v>
      </c>
      <c r="P177">
        <f>_xlfn.RANK.EQ(H177,$H$2:$H$201,0)</f>
        <v>146</v>
      </c>
      <c r="Q177">
        <f>SUMIFS($H$2:$H$201,$B$2:$B$201,"&lt;="&amp;B177)</f>
        <v>314278</v>
      </c>
    </row>
    <row r="178" spans="1:17" x14ac:dyDescent="0.35">
      <c r="A178">
        <v>177</v>
      </c>
      <c r="B178" s="1">
        <v>45702</v>
      </c>
      <c r="C178" t="s">
        <v>37</v>
      </c>
      <c r="D178" t="s">
        <v>10</v>
      </c>
      <c r="E178" t="s">
        <v>21</v>
      </c>
      <c r="F178" t="s">
        <v>57</v>
      </c>
      <c r="G178" t="s">
        <v>13</v>
      </c>
      <c r="H178">
        <v>11754</v>
      </c>
      <c r="I178">
        <v>8066</v>
      </c>
      <c r="J178">
        <f>H178-I178</f>
        <v>3688</v>
      </c>
      <c r="K178" s="6">
        <f>J178/H178</f>
        <v>0.31376552662923263</v>
      </c>
      <c r="L178" t="str">
        <f t="array" ref="L178">_xlfn.IFS(J178&gt;15000,"Excellent",J178&gt;=5000,"Good",J178&lt;5000,"Poor")</f>
        <v>Poor</v>
      </c>
      <c r="M178">
        <f t="array" ref="M178">_xlfn.XLOOKUP(G178,' Employee_Salary'!$A$1:A182,' Employee_Salary'!$B$1:B182,FALSE)</f>
        <v>47000</v>
      </c>
      <c r="N178" s="9">
        <f>M178/H178</f>
        <v>3.9986387612727583</v>
      </c>
      <c r="O178" s="9">
        <f>IF(D178="Electronics",H178*5%,IF(D178="Furniture",H178*8%,0))</f>
        <v>940.32</v>
      </c>
      <c r="P178">
        <f>_xlfn.RANK.EQ(H178,$H$2:$H$201,0)</f>
        <v>142</v>
      </c>
      <c r="Q178">
        <f>SUMIFS($H$2:$H$201,$B$2:$B$201,"&lt;="&amp;B178)</f>
        <v>2448350</v>
      </c>
    </row>
    <row r="179" spans="1:17" x14ac:dyDescent="0.35">
      <c r="A179">
        <v>178</v>
      </c>
      <c r="B179" s="1">
        <v>45704</v>
      </c>
      <c r="C179" t="s">
        <v>37</v>
      </c>
      <c r="D179" t="s">
        <v>10</v>
      </c>
      <c r="E179" t="s">
        <v>21</v>
      </c>
      <c r="F179" t="s">
        <v>30</v>
      </c>
      <c r="G179" t="s">
        <v>28</v>
      </c>
      <c r="H179">
        <v>19787</v>
      </c>
      <c r="I179">
        <v>16448</v>
      </c>
      <c r="J179">
        <f>H179-I179</f>
        <v>3339</v>
      </c>
      <c r="K179" s="6">
        <f>J179/H179</f>
        <v>0.16874715722444028</v>
      </c>
      <c r="L179" t="str">
        <f t="array" ref="L179">_xlfn.IFS(J179&gt;15000,"Excellent",J179&gt;=5000,"Good",J179&lt;5000,"Poor")</f>
        <v>Poor</v>
      </c>
      <c r="M179">
        <f t="array" ref="M179">_xlfn.XLOOKUP(G179,' Employee_Salary'!$A$1:A183,' Employee_Salary'!$B$1:B183,FALSE)</f>
        <v>45000</v>
      </c>
      <c r="N179" s="9">
        <f>M179/H179</f>
        <v>2.2742204477687369</v>
      </c>
      <c r="O179" s="9">
        <f>IF(D179="Electronics",H179*5%,IF(D179="Furniture",H179*8%,0))</f>
        <v>1582.96</v>
      </c>
      <c r="P179">
        <f>_xlfn.RANK.EQ(H179,$H$2:$H$201,0)</f>
        <v>68</v>
      </c>
      <c r="Q179">
        <f>SUMIFS($H$2:$H$201,$B$2:$B$201,"&lt;="&amp;B179)</f>
        <v>2568758</v>
      </c>
    </row>
    <row r="180" spans="1:17" x14ac:dyDescent="0.35">
      <c r="A180">
        <v>179</v>
      </c>
      <c r="B180" s="1">
        <v>45662</v>
      </c>
      <c r="C180" t="s">
        <v>14</v>
      </c>
      <c r="D180" t="s">
        <v>10</v>
      </c>
      <c r="E180" t="s">
        <v>42</v>
      </c>
      <c r="F180" t="s">
        <v>38</v>
      </c>
      <c r="G180" t="s">
        <v>28</v>
      </c>
      <c r="H180">
        <v>7183</v>
      </c>
      <c r="I180">
        <v>6189</v>
      </c>
      <c r="J180">
        <f>H180-I180</f>
        <v>994</v>
      </c>
      <c r="K180" s="6">
        <f>J180/H180</f>
        <v>0.13838229152164833</v>
      </c>
      <c r="L180" t="str">
        <f t="array" ref="L180">_xlfn.IFS(J180&gt;15000,"Excellent",J180&gt;=5000,"Good",J180&lt;5000,"Poor")</f>
        <v>Poor</v>
      </c>
      <c r="M180">
        <f t="array" ref="M180">_xlfn.XLOOKUP(G180,' Employee_Salary'!$A$1:A184,' Employee_Salary'!$B$1:B184,FALSE)</f>
        <v>45000</v>
      </c>
      <c r="N180" s="9">
        <f>M180/H180</f>
        <v>6.2647918696923295</v>
      </c>
      <c r="O180" s="9">
        <f>IF(D180="Electronics",H180*5%,IF(D180="Furniture",H180*8%,0))</f>
        <v>574.64</v>
      </c>
      <c r="P180">
        <f>_xlfn.RANK.EQ(H180,$H$2:$H$201,0)</f>
        <v>169</v>
      </c>
      <c r="Q180">
        <f>SUMIFS($H$2:$H$201,$B$2:$B$201,"&lt;="&amp;B180)</f>
        <v>226223</v>
      </c>
    </row>
    <row r="181" spans="1:17" x14ac:dyDescent="0.35">
      <c r="A181">
        <v>180</v>
      </c>
      <c r="B181" s="1">
        <v>45701</v>
      </c>
      <c r="C181" t="s">
        <v>14</v>
      </c>
      <c r="D181" t="s">
        <v>10</v>
      </c>
      <c r="E181" t="s">
        <v>15</v>
      </c>
      <c r="F181" t="s">
        <v>59</v>
      </c>
      <c r="G181" t="s">
        <v>35</v>
      </c>
      <c r="H181">
        <v>9341</v>
      </c>
      <c r="I181">
        <v>8029</v>
      </c>
      <c r="J181">
        <f>H181-I181</f>
        <v>1312</v>
      </c>
      <c r="K181" s="6">
        <f>J181/H181</f>
        <v>0.14045605395567926</v>
      </c>
      <c r="L181" t="str">
        <f t="array" ref="L181">_xlfn.IFS(J181&gt;15000,"Excellent",J181&gt;=5000,"Good",J181&lt;5000,"Poor")</f>
        <v>Poor</v>
      </c>
      <c r="M181">
        <f t="array" ref="M181">_xlfn.XLOOKUP(G181,' Employee_Salary'!$A$1:A185,' Employee_Salary'!$B$1:B185,FALSE)</f>
        <v>40000</v>
      </c>
      <c r="N181" s="9">
        <f>M181/H181</f>
        <v>4.2821967669414409</v>
      </c>
      <c r="O181" s="9">
        <f>IF(D181="Electronics",H181*5%,IF(D181="Furniture",H181*8%,0))</f>
        <v>747.28</v>
      </c>
      <c r="P181">
        <f>_xlfn.RANK.EQ(H181,$H$2:$H$201,0)</f>
        <v>152</v>
      </c>
      <c r="Q181">
        <f>SUMIFS($H$2:$H$201,$B$2:$B$201,"&lt;="&amp;B181)</f>
        <v>2376415</v>
      </c>
    </row>
    <row r="182" spans="1:17" x14ac:dyDescent="0.35">
      <c r="A182">
        <v>181</v>
      </c>
      <c r="B182" s="1">
        <v>45671</v>
      </c>
      <c r="C182" t="s">
        <v>17</v>
      </c>
      <c r="D182" t="s">
        <v>10</v>
      </c>
      <c r="E182" t="s">
        <v>21</v>
      </c>
      <c r="F182" t="s">
        <v>71</v>
      </c>
      <c r="G182" t="s">
        <v>28</v>
      </c>
      <c r="H182">
        <v>17968</v>
      </c>
      <c r="I182">
        <v>13010</v>
      </c>
      <c r="J182">
        <f>H182-I182</f>
        <v>4958</v>
      </c>
      <c r="K182" s="6">
        <f>J182/H182</f>
        <v>0.27593499554764023</v>
      </c>
      <c r="L182" t="str">
        <f t="array" ref="L182">_xlfn.IFS(J182&gt;15000,"Excellent",J182&gt;=5000,"Good",J182&lt;5000,"Poor")</f>
        <v>Poor</v>
      </c>
      <c r="M182">
        <f t="array" ref="M182">_xlfn.XLOOKUP(G182,' Employee_Salary'!$A$1:A186,' Employee_Salary'!$B$1:B186,FALSE)</f>
        <v>45000</v>
      </c>
      <c r="N182" s="9">
        <f>M182/H182</f>
        <v>2.504452359750668</v>
      </c>
      <c r="O182" s="9">
        <f>IF(D182="Electronics",H182*5%,IF(D182="Furniture",H182*8%,0))</f>
        <v>1437.44</v>
      </c>
      <c r="P182">
        <f>_xlfn.RANK.EQ(H182,$H$2:$H$201,0)</f>
        <v>82</v>
      </c>
      <c r="Q182">
        <f>SUMIFS($H$2:$H$201,$B$2:$B$201,"&lt;="&amp;B182)</f>
        <v>841403</v>
      </c>
    </row>
    <row r="183" spans="1:17" x14ac:dyDescent="0.35">
      <c r="A183">
        <v>182</v>
      </c>
      <c r="B183" s="1">
        <v>45680</v>
      </c>
      <c r="C183" t="s">
        <v>37</v>
      </c>
      <c r="D183" t="s">
        <v>18</v>
      </c>
      <c r="E183" t="s">
        <v>26</v>
      </c>
      <c r="F183" t="s">
        <v>71</v>
      </c>
      <c r="G183" t="s">
        <v>13</v>
      </c>
      <c r="H183">
        <v>13825</v>
      </c>
      <c r="I183">
        <v>8726</v>
      </c>
      <c r="J183">
        <f>H183-I183</f>
        <v>5099</v>
      </c>
      <c r="K183" s="6">
        <f>J183/H183</f>
        <v>0.36882459312839061</v>
      </c>
      <c r="L183" t="str">
        <f t="array" ref="L183">_xlfn.IFS(J183&gt;15000,"Excellent",J183&gt;=5000,"Good",J183&lt;5000,"Poor")</f>
        <v>Good</v>
      </c>
      <c r="M183">
        <f t="array" ref="M183">_xlfn.XLOOKUP(G183,' Employee_Salary'!$A$1:A187,' Employee_Salary'!$B$1:B187,FALSE)</f>
        <v>47000</v>
      </c>
      <c r="N183" s="9">
        <f>M183/H183</f>
        <v>3.3996383363471971</v>
      </c>
      <c r="O183" s="9">
        <f>IF(D183="Electronics",H183*5%,IF(D183="Furniture",H183*8%,0))</f>
        <v>691.25</v>
      </c>
      <c r="P183">
        <f>_xlfn.RANK.EQ(H183,$H$2:$H$201,0)</f>
        <v>114</v>
      </c>
      <c r="Q183">
        <f>SUMIFS($H$2:$H$201,$B$2:$B$201,"&lt;="&amp;B183)</f>
        <v>1349916</v>
      </c>
    </row>
    <row r="184" spans="1:17" x14ac:dyDescent="0.35">
      <c r="A184">
        <v>183</v>
      </c>
      <c r="B184" s="1">
        <v>45669</v>
      </c>
      <c r="C184" t="s">
        <v>14</v>
      </c>
      <c r="D184" t="s">
        <v>10</v>
      </c>
      <c r="E184" t="s">
        <v>42</v>
      </c>
      <c r="F184" t="s">
        <v>53</v>
      </c>
      <c r="G184" t="s">
        <v>23</v>
      </c>
      <c r="H184">
        <v>12841</v>
      </c>
      <c r="I184">
        <v>11391</v>
      </c>
      <c r="J184">
        <f>H184-I184</f>
        <v>1450</v>
      </c>
      <c r="K184" s="6">
        <f>J184/H184</f>
        <v>0.11291955455182619</v>
      </c>
      <c r="L184" t="str">
        <f t="array" ref="L184">_xlfn.IFS(J184&gt;15000,"Excellent",J184&gt;=5000,"Good",J184&lt;5000,"Poor")</f>
        <v>Poor</v>
      </c>
      <c r="M184">
        <f t="array" ref="M184">_xlfn.XLOOKUP(G184,' Employee_Salary'!$A$1:A188,' Employee_Salary'!$B$1:B188,FALSE)</f>
        <v>43000</v>
      </c>
      <c r="N184" s="9">
        <f>M184/H184</f>
        <v>3.3486488591231214</v>
      </c>
      <c r="O184" s="9">
        <f>IF(D184="Electronics",H184*5%,IF(D184="Furniture",H184*8%,0))</f>
        <v>1027.28</v>
      </c>
      <c r="P184">
        <f>_xlfn.RANK.EQ(H184,$H$2:$H$201,0)</f>
        <v>127</v>
      </c>
      <c r="Q184">
        <f>SUMIFS($H$2:$H$201,$B$2:$B$201,"&lt;="&amp;B184)</f>
        <v>665652</v>
      </c>
    </row>
    <row r="185" spans="1:17" x14ac:dyDescent="0.35">
      <c r="A185">
        <v>184</v>
      </c>
      <c r="B185" s="1">
        <v>45683</v>
      </c>
      <c r="C185" t="s">
        <v>14</v>
      </c>
      <c r="D185" t="s">
        <v>10</v>
      </c>
      <c r="E185" t="s">
        <v>42</v>
      </c>
      <c r="F185" t="s">
        <v>27</v>
      </c>
      <c r="G185" t="s">
        <v>28</v>
      </c>
      <c r="H185">
        <v>15573</v>
      </c>
      <c r="I185">
        <v>9363</v>
      </c>
      <c r="J185">
        <f>H185-I185</f>
        <v>6210</v>
      </c>
      <c r="K185" s="6">
        <f>J185/H185</f>
        <v>0.39876709689847811</v>
      </c>
      <c r="L185" t="str">
        <f t="array" ref="L185">_xlfn.IFS(J185&gt;15000,"Excellent",J185&gt;=5000,"Good",J185&lt;5000,"Poor")</f>
        <v>Good</v>
      </c>
      <c r="M185">
        <f t="array" ref="M185">_xlfn.XLOOKUP(G185,' Employee_Salary'!$A$1:A189,' Employee_Salary'!$B$1:B189,FALSE)</f>
        <v>45000</v>
      </c>
      <c r="N185" s="9">
        <f>M185/H185</f>
        <v>2.8896166441918707</v>
      </c>
      <c r="O185" s="9">
        <f>IF(D185="Electronics",H185*5%,IF(D185="Furniture",H185*8%,0))</f>
        <v>1245.8399999999999</v>
      </c>
      <c r="P185">
        <f>_xlfn.RANK.EQ(H185,$H$2:$H$201,0)</f>
        <v>107</v>
      </c>
      <c r="Q185">
        <f>SUMIFS($H$2:$H$201,$B$2:$B$201,"&lt;="&amp;B185)</f>
        <v>1589196</v>
      </c>
    </row>
    <row r="186" spans="1:17" x14ac:dyDescent="0.35">
      <c r="A186">
        <v>185</v>
      </c>
      <c r="B186" s="1">
        <v>45705</v>
      </c>
      <c r="C186" t="s">
        <v>17</v>
      </c>
      <c r="D186" t="s">
        <v>18</v>
      </c>
      <c r="E186" t="s">
        <v>29</v>
      </c>
      <c r="F186" t="s">
        <v>36</v>
      </c>
      <c r="G186" t="s">
        <v>23</v>
      </c>
      <c r="H186">
        <v>14137</v>
      </c>
      <c r="I186">
        <v>11432</v>
      </c>
      <c r="J186">
        <f>H186-I186</f>
        <v>2705</v>
      </c>
      <c r="K186" s="6">
        <f>J186/H186</f>
        <v>0.19134186885477825</v>
      </c>
      <c r="L186" t="str">
        <f t="array" ref="L186">_xlfn.IFS(J186&gt;15000,"Excellent",J186&gt;=5000,"Good",J186&lt;5000,"Poor")</f>
        <v>Poor</v>
      </c>
      <c r="M186">
        <f t="array" ref="M186">_xlfn.XLOOKUP(G186,' Employee_Salary'!$A$1:A190,' Employee_Salary'!$B$1:B190,FALSE)</f>
        <v>43000</v>
      </c>
      <c r="N186" s="9">
        <f>M186/H186</f>
        <v>3.0416637193181013</v>
      </c>
      <c r="O186" s="9">
        <f>IF(D186="Electronics",H186*5%,IF(D186="Furniture",H186*8%,0))</f>
        <v>706.85</v>
      </c>
      <c r="P186">
        <f>_xlfn.RANK.EQ(H186,$H$2:$H$201,0)</f>
        <v>112</v>
      </c>
      <c r="Q186">
        <f>SUMIFS($H$2:$H$201,$B$2:$B$201,"&lt;="&amp;B186)</f>
        <v>2691046</v>
      </c>
    </row>
    <row r="187" spans="1:17" x14ac:dyDescent="0.35">
      <c r="A187">
        <v>186</v>
      </c>
      <c r="B187" s="1">
        <v>45675</v>
      </c>
      <c r="C187" t="s">
        <v>17</v>
      </c>
      <c r="D187" t="s">
        <v>10</v>
      </c>
      <c r="E187" t="s">
        <v>42</v>
      </c>
      <c r="F187" t="s">
        <v>54</v>
      </c>
      <c r="G187" t="s">
        <v>33</v>
      </c>
      <c r="H187">
        <v>10389</v>
      </c>
      <c r="I187">
        <v>8448</v>
      </c>
      <c r="J187">
        <f>H187-I187</f>
        <v>1941</v>
      </c>
      <c r="K187" s="6">
        <f>J187/H187</f>
        <v>0.1868322263933006</v>
      </c>
      <c r="L187" t="str">
        <f t="array" ref="L187">_xlfn.IFS(J187&gt;15000,"Excellent",J187&gt;=5000,"Good",J187&lt;5000,"Poor")</f>
        <v>Poor</v>
      </c>
      <c r="M187">
        <f t="array" ref="M187">_xlfn.XLOOKUP(G187,' Employee_Salary'!$A$1:A191,' Employee_Salary'!$B$1:B191,FALSE)</f>
        <v>42000</v>
      </c>
      <c r="N187" s="9">
        <f>M187/H187</f>
        <v>4.0427375108287613</v>
      </c>
      <c r="O187" s="9">
        <f>IF(D187="Electronics",H187*5%,IF(D187="Furniture",H187*8%,0))</f>
        <v>831.12</v>
      </c>
      <c r="P187">
        <f>_xlfn.RANK.EQ(H187,$H$2:$H$201,0)</f>
        <v>148</v>
      </c>
      <c r="Q187">
        <f>SUMIFS($H$2:$H$201,$B$2:$B$201,"&lt;="&amp;B187)</f>
        <v>980127</v>
      </c>
    </row>
    <row r="188" spans="1:17" x14ac:dyDescent="0.35">
      <c r="A188">
        <v>187</v>
      </c>
      <c r="B188" s="1">
        <v>45705</v>
      </c>
      <c r="C188" t="s">
        <v>14</v>
      </c>
      <c r="D188" t="s">
        <v>10</v>
      </c>
      <c r="E188" t="s">
        <v>42</v>
      </c>
      <c r="F188" t="s">
        <v>51</v>
      </c>
      <c r="G188" t="s">
        <v>28</v>
      </c>
      <c r="H188">
        <v>17123</v>
      </c>
      <c r="I188">
        <v>12494</v>
      </c>
      <c r="J188">
        <f>H188-I188</f>
        <v>4629</v>
      </c>
      <c r="K188" s="6">
        <f>J188/H188</f>
        <v>0.27033814168078024</v>
      </c>
      <c r="L188" t="str">
        <f t="array" ref="L188">_xlfn.IFS(J188&gt;15000,"Excellent",J188&gt;=5000,"Good",J188&lt;5000,"Poor")</f>
        <v>Poor</v>
      </c>
      <c r="M188">
        <f t="array" ref="M188">_xlfn.XLOOKUP(G188,' Employee_Salary'!$A$1:A192,' Employee_Salary'!$B$1:B192,FALSE)</f>
        <v>45000</v>
      </c>
      <c r="N188" s="9">
        <f>M188/H188</f>
        <v>2.6280441511417392</v>
      </c>
      <c r="O188" s="9">
        <f>IF(D188="Electronics",H188*5%,IF(D188="Furniture",H188*8%,0))</f>
        <v>1369.84</v>
      </c>
      <c r="P188">
        <f>_xlfn.RANK.EQ(H188,$H$2:$H$201,0)</f>
        <v>95</v>
      </c>
      <c r="Q188">
        <f>SUMIFS($H$2:$H$201,$B$2:$B$201,"&lt;="&amp;B188)</f>
        <v>2691046</v>
      </c>
    </row>
    <row r="189" spans="1:17" x14ac:dyDescent="0.35">
      <c r="A189">
        <v>188</v>
      </c>
      <c r="B189" s="1">
        <v>45717</v>
      </c>
      <c r="C189" t="s">
        <v>37</v>
      </c>
      <c r="D189" t="s">
        <v>18</v>
      </c>
      <c r="E189" t="s">
        <v>19</v>
      </c>
      <c r="F189" t="s">
        <v>57</v>
      </c>
      <c r="G189" t="s">
        <v>23</v>
      </c>
      <c r="H189">
        <v>23457</v>
      </c>
      <c r="I189">
        <v>20867</v>
      </c>
      <c r="J189">
        <f>H189-I189</f>
        <v>2590</v>
      </c>
      <c r="K189" s="6">
        <f>J189/H189</f>
        <v>0.11041480155177559</v>
      </c>
      <c r="L189" t="str">
        <f t="array" ref="L189">_xlfn.IFS(J189&gt;15000,"Excellent",J189&gt;=5000,"Good",J189&lt;5000,"Poor")</f>
        <v>Poor</v>
      </c>
      <c r="M189">
        <f t="array" ref="M189">_xlfn.XLOOKUP(G189,' Employee_Salary'!$A$1:A193,' Employee_Salary'!$B$1:B193,FALSE)</f>
        <v>43000</v>
      </c>
      <c r="N189" s="9">
        <f>M189/H189</f>
        <v>1.8331414929445369</v>
      </c>
      <c r="O189" s="9">
        <f>IF(D189="Electronics",H189*5%,IF(D189="Furniture",H189*8%,0))</f>
        <v>1172.8500000000001</v>
      </c>
      <c r="P189">
        <f>_xlfn.RANK.EQ(H189,$H$2:$H$201,0)</f>
        <v>41</v>
      </c>
      <c r="Q189">
        <f>SUMIFS($H$2:$H$201,$B$2:$B$201,"&lt;="&amp;B189)</f>
        <v>3235200</v>
      </c>
    </row>
    <row r="190" spans="1:17" x14ac:dyDescent="0.35">
      <c r="A190">
        <v>189</v>
      </c>
      <c r="B190" s="1">
        <v>45699</v>
      </c>
      <c r="C190" t="s">
        <v>17</v>
      </c>
      <c r="D190" t="s">
        <v>18</v>
      </c>
      <c r="E190" t="s">
        <v>19</v>
      </c>
      <c r="F190" t="s">
        <v>68</v>
      </c>
      <c r="G190" t="s">
        <v>13</v>
      </c>
      <c r="H190">
        <v>12542</v>
      </c>
      <c r="I190">
        <v>10524</v>
      </c>
      <c r="J190">
        <f>H190-I190</f>
        <v>2018</v>
      </c>
      <c r="K190" s="6">
        <f>J190/H190</f>
        <v>0.16089937808961888</v>
      </c>
      <c r="L190" t="str">
        <f t="array" ref="L190">_xlfn.IFS(J190&gt;15000,"Excellent",J190&gt;=5000,"Good",J190&lt;5000,"Poor")</f>
        <v>Poor</v>
      </c>
      <c r="M190">
        <f t="array" ref="M190">_xlfn.XLOOKUP(G190,' Employee_Salary'!$A$1:A194,' Employee_Salary'!$B$1:B194,FALSE)</f>
        <v>47000</v>
      </c>
      <c r="N190" s="9">
        <f>M190/H190</f>
        <v>3.7474087067453357</v>
      </c>
      <c r="O190" s="9">
        <f>IF(D190="Electronics",H190*5%,IF(D190="Furniture",H190*8%,0))</f>
        <v>627.1</v>
      </c>
      <c r="P190">
        <f>_xlfn.RANK.EQ(H190,$H$2:$H$201,0)</f>
        <v>133</v>
      </c>
      <c r="Q190">
        <f>SUMIFS($H$2:$H$201,$B$2:$B$201,"&lt;="&amp;B190)</f>
        <v>2264035</v>
      </c>
    </row>
    <row r="191" spans="1:17" x14ac:dyDescent="0.35">
      <c r="A191">
        <v>190</v>
      </c>
      <c r="B191" s="1">
        <v>45675</v>
      </c>
      <c r="C191" t="s">
        <v>14</v>
      </c>
      <c r="D191" t="s">
        <v>18</v>
      </c>
      <c r="E191" t="s">
        <v>26</v>
      </c>
      <c r="F191" t="s">
        <v>63</v>
      </c>
      <c r="G191" t="s">
        <v>35</v>
      </c>
      <c r="H191">
        <v>11297</v>
      </c>
      <c r="I191">
        <v>9166</v>
      </c>
      <c r="J191">
        <f>H191-I191</f>
        <v>2131</v>
      </c>
      <c r="K191" s="6">
        <f>J191/H191</f>
        <v>0.18863415065946712</v>
      </c>
      <c r="L191" t="str">
        <f t="array" ref="L191">_xlfn.IFS(J191&gt;15000,"Excellent",J191&gt;=5000,"Good",J191&lt;5000,"Poor")</f>
        <v>Poor</v>
      </c>
      <c r="M191">
        <f t="array" ref="M191">_xlfn.XLOOKUP(G191,' Employee_Salary'!$A$1:A195,' Employee_Salary'!$B$1:B195,FALSE)</f>
        <v>40000</v>
      </c>
      <c r="N191" s="9">
        <f>M191/H191</f>
        <v>3.5407630344339207</v>
      </c>
      <c r="O191" s="9">
        <f>IF(D191="Electronics",H191*5%,IF(D191="Furniture",H191*8%,0))</f>
        <v>564.85</v>
      </c>
      <c r="P191">
        <f>_xlfn.RANK.EQ(H191,$H$2:$H$201,0)</f>
        <v>144</v>
      </c>
      <c r="Q191">
        <f>SUMIFS($H$2:$H$201,$B$2:$B$201,"&lt;="&amp;B191)</f>
        <v>980127</v>
      </c>
    </row>
    <row r="192" spans="1:17" x14ac:dyDescent="0.35">
      <c r="A192">
        <v>191</v>
      </c>
      <c r="B192" s="1">
        <v>45662</v>
      </c>
      <c r="C192" t="s">
        <v>9</v>
      </c>
      <c r="D192" t="s">
        <v>18</v>
      </c>
      <c r="E192" t="s">
        <v>26</v>
      </c>
      <c r="F192" t="s">
        <v>71</v>
      </c>
      <c r="G192" t="s">
        <v>33</v>
      </c>
      <c r="H192">
        <v>20988</v>
      </c>
      <c r="I192">
        <v>14469</v>
      </c>
      <c r="J192">
        <f>H192-I192</f>
        <v>6519</v>
      </c>
      <c r="K192" s="6">
        <f>J192/H192</f>
        <v>0.31060606060606061</v>
      </c>
      <c r="L192" t="str">
        <f t="array" ref="L192">_xlfn.IFS(J192&gt;15000,"Excellent",J192&gt;=5000,"Good",J192&lt;5000,"Poor")</f>
        <v>Good</v>
      </c>
      <c r="M192">
        <f t="array" ref="M192">_xlfn.XLOOKUP(G192,' Employee_Salary'!$A$1:A196,' Employee_Salary'!$B$1:B196,FALSE)</f>
        <v>42000</v>
      </c>
      <c r="N192" s="9">
        <f>M192/H192</f>
        <v>2.0011435105774726</v>
      </c>
      <c r="O192" s="9">
        <f>IF(D192="Electronics",H192*5%,IF(D192="Furniture",H192*8%,0))</f>
        <v>1049.4000000000001</v>
      </c>
      <c r="P192">
        <f>_xlfn.RANK.EQ(H192,$H$2:$H$201,0)</f>
        <v>62</v>
      </c>
      <c r="Q192">
        <f>SUMIFS($H$2:$H$201,$B$2:$B$201,"&lt;="&amp;B192)</f>
        <v>226223</v>
      </c>
    </row>
    <row r="193" spans="1:17" x14ac:dyDescent="0.35">
      <c r="A193">
        <v>192</v>
      </c>
      <c r="B193" s="1">
        <v>45677</v>
      </c>
      <c r="C193" t="s">
        <v>9</v>
      </c>
      <c r="D193" t="s">
        <v>18</v>
      </c>
      <c r="E193" t="s">
        <v>29</v>
      </c>
      <c r="F193" t="s">
        <v>77</v>
      </c>
      <c r="G193" t="s">
        <v>13</v>
      </c>
      <c r="H193">
        <v>22125</v>
      </c>
      <c r="I193">
        <v>18956</v>
      </c>
      <c r="J193">
        <f>H193-I193</f>
        <v>3169</v>
      </c>
      <c r="K193" s="6">
        <f>J193/H193</f>
        <v>0.14323163841807909</v>
      </c>
      <c r="L193" t="str">
        <f t="array" ref="L193">_xlfn.IFS(J193&gt;15000,"Excellent",J193&gt;=5000,"Good",J193&lt;5000,"Poor")</f>
        <v>Poor</v>
      </c>
      <c r="M193">
        <f t="array" ref="M193">_xlfn.XLOOKUP(G193,' Employee_Salary'!$A$1:A197,' Employee_Salary'!$B$1:B197,FALSE)</f>
        <v>47000</v>
      </c>
      <c r="N193" s="9">
        <f>M193/H193</f>
        <v>2.1242937853107344</v>
      </c>
      <c r="O193" s="9">
        <f>IF(D193="Electronics",H193*5%,IF(D193="Furniture",H193*8%,0))</f>
        <v>1106.25</v>
      </c>
      <c r="P193">
        <f>_xlfn.RANK.EQ(H193,$H$2:$H$201,0)</f>
        <v>53</v>
      </c>
      <c r="Q193">
        <f>SUMIFS($H$2:$H$201,$B$2:$B$201,"&lt;="&amp;B193)</f>
        <v>1137341</v>
      </c>
    </row>
    <row r="194" spans="1:17" x14ac:dyDescent="0.35">
      <c r="A194">
        <v>193</v>
      </c>
      <c r="B194" s="1">
        <v>45699</v>
      </c>
      <c r="C194" t="s">
        <v>14</v>
      </c>
      <c r="D194" t="s">
        <v>18</v>
      </c>
      <c r="E194" t="s">
        <v>29</v>
      </c>
      <c r="F194" t="s">
        <v>54</v>
      </c>
      <c r="G194" t="s">
        <v>28</v>
      </c>
      <c r="H194">
        <v>24547</v>
      </c>
      <c r="I194">
        <v>22049</v>
      </c>
      <c r="J194">
        <f>H194-I194</f>
        <v>2498</v>
      </c>
      <c r="K194" s="6">
        <f>J194/H194</f>
        <v>0.10176396300973642</v>
      </c>
      <c r="L194" t="str">
        <f t="array" ref="L194">_xlfn.IFS(J194&gt;15000,"Excellent",J194&gt;=5000,"Good",J194&lt;5000,"Poor")</f>
        <v>Poor</v>
      </c>
      <c r="M194">
        <f t="array" ref="M194">_xlfn.XLOOKUP(G194,' Employee_Salary'!$A$1:A198,' Employee_Salary'!$B$1:B198,FALSE)</f>
        <v>45000</v>
      </c>
      <c r="N194" s="9">
        <f>M194/H194</f>
        <v>1.8332179085020572</v>
      </c>
      <c r="O194" s="9">
        <f>IF(D194="Electronics",H194*5%,IF(D194="Furniture",H194*8%,0))</f>
        <v>1227.3500000000001</v>
      </c>
      <c r="P194">
        <f>_xlfn.RANK.EQ(H194,$H$2:$H$201,0)</f>
        <v>33</v>
      </c>
      <c r="Q194">
        <f>SUMIFS($H$2:$H$201,$B$2:$B$201,"&lt;="&amp;B194)</f>
        <v>2264035</v>
      </c>
    </row>
    <row r="195" spans="1:17" x14ac:dyDescent="0.35">
      <c r="A195">
        <v>194</v>
      </c>
      <c r="B195" s="1">
        <v>45664</v>
      </c>
      <c r="C195" t="s">
        <v>9</v>
      </c>
      <c r="D195" t="s">
        <v>18</v>
      </c>
      <c r="E195" t="s">
        <v>29</v>
      </c>
      <c r="F195" t="s">
        <v>44</v>
      </c>
      <c r="G195" t="s">
        <v>33</v>
      </c>
      <c r="H195">
        <v>24450</v>
      </c>
      <c r="I195">
        <v>15331</v>
      </c>
      <c r="J195">
        <f>H195-I195</f>
        <v>9119</v>
      </c>
      <c r="K195" s="6">
        <f>J195/H195</f>
        <v>0.37296523517382413</v>
      </c>
      <c r="L195" t="str">
        <f t="array" ref="L195">_xlfn.IFS(J195&gt;15000,"Excellent",J195&gt;=5000,"Good",J195&lt;5000,"Poor")</f>
        <v>Good</v>
      </c>
      <c r="M195">
        <f t="array" ref="M195">_xlfn.XLOOKUP(G195,' Employee_Salary'!$A$1:A199,' Employee_Salary'!$B$1:B199,FALSE)</f>
        <v>42000</v>
      </c>
      <c r="N195" s="9">
        <f>M195/H195</f>
        <v>1.7177914110429449</v>
      </c>
      <c r="O195" s="9">
        <f>IF(D195="Electronics",H195*5%,IF(D195="Furniture",H195*8%,0))</f>
        <v>1222.5</v>
      </c>
      <c r="P195">
        <f>_xlfn.RANK.EQ(H195,$H$2:$H$201,0)</f>
        <v>34</v>
      </c>
      <c r="Q195">
        <f>SUMIFS($H$2:$H$201,$B$2:$B$201,"&lt;="&amp;B195)</f>
        <v>338728</v>
      </c>
    </row>
    <row r="196" spans="1:17" x14ac:dyDescent="0.35">
      <c r="A196">
        <v>195</v>
      </c>
      <c r="B196" s="1">
        <v>45690</v>
      </c>
      <c r="C196" t="s">
        <v>14</v>
      </c>
      <c r="D196" t="s">
        <v>10</v>
      </c>
      <c r="E196" t="s">
        <v>11</v>
      </c>
      <c r="F196" t="s">
        <v>47</v>
      </c>
      <c r="G196" t="s">
        <v>28</v>
      </c>
      <c r="H196">
        <v>6284</v>
      </c>
      <c r="I196">
        <v>4993</v>
      </c>
      <c r="J196">
        <f>H196-I196</f>
        <v>1291</v>
      </c>
      <c r="K196" s="6">
        <f>J196/H196</f>
        <v>0.20544239338001274</v>
      </c>
      <c r="L196" t="str">
        <f t="array" ref="L196">_xlfn.IFS(J196&gt;15000,"Excellent",J196&gt;=5000,"Good",J196&lt;5000,"Poor")</f>
        <v>Poor</v>
      </c>
      <c r="M196">
        <f t="array" ref="M196">_xlfn.XLOOKUP(G196,' Employee_Salary'!$A$1:A200,' Employee_Salary'!$B$1:B200,FALSE)</f>
        <v>45000</v>
      </c>
      <c r="N196" s="9">
        <f>M196/H196</f>
        <v>7.1610439210693828</v>
      </c>
      <c r="O196" s="9">
        <f>IF(D196="Electronics",H196*5%,IF(D196="Furniture",H196*8%,0))</f>
        <v>502.72</v>
      </c>
      <c r="P196">
        <f>_xlfn.RANK.EQ(H196,$H$2:$H$201,0)</f>
        <v>176</v>
      </c>
      <c r="Q196">
        <f>SUMIFS($H$2:$H$201,$B$2:$B$201,"&lt;="&amp;B196)</f>
        <v>1869415</v>
      </c>
    </row>
    <row r="197" spans="1:17" x14ac:dyDescent="0.35">
      <c r="A197">
        <v>196</v>
      </c>
      <c r="B197" s="1">
        <v>45702</v>
      </c>
      <c r="C197" t="s">
        <v>14</v>
      </c>
      <c r="D197" t="s">
        <v>18</v>
      </c>
      <c r="E197" t="s">
        <v>19</v>
      </c>
      <c r="F197" t="s">
        <v>49</v>
      </c>
      <c r="G197" t="s">
        <v>33</v>
      </c>
      <c r="H197">
        <v>12554</v>
      </c>
      <c r="I197">
        <v>7624</v>
      </c>
      <c r="J197">
        <f>H197-I197</f>
        <v>4930</v>
      </c>
      <c r="K197" s="6">
        <f>J197/H197</f>
        <v>0.39270352079018639</v>
      </c>
      <c r="L197" t="str">
        <f t="array" ref="L197">_xlfn.IFS(J197&gt;15000,"Excellent",J197&gt;=5000,"Good",J197&lt;5000,"Poor")</f>
        <v>Poor</v>
      </c>
      <c r="M197">
        <f t="array" ref="M197">_xlfn.XLOOKUP(G197,' Employee_Salary'!$A$1:A201,' Employee_Salary'!$B$1:B201,FALSE)</f>
        <v>42000</v>
      </c>
      <c r="N197" s="9">
        <f>M197/H197</f>
        <v>3.3455472359407361</v>
      </c>
      <c r="O197" s="9">
        <f>IF(D197="Electronics",H197*5%,IF(D197="Furniture",H197*8%,0))</f>
        <v>627.70000000000005</v>
      </c>
      <c r="P197">
        <f>_xlfn.RANK.EQ(H197,$H$2:$H$201,0)</f>
        <v>132</v>
      </c>
      <c r="Q197">
        <f>SUMIFS($H$2:$H$201,$B$2:$B$201,"&lt;="&amp;B197)</f>
        <v>2448350</v>
      </c>
    </row>
    <row r="198" spans="1:17" x14ac:dyDescent="0.35">
      <c r="A198">
        <v>197</v>
      </c>
      <c r="B198" s="1">
        <v>45682</v>
      </c>
      <c r="C198" t="s">
        <v>9</v>
      </c>
      <c r="D198" t="s">
        <v>10</v>
      </c>
      <c r="E198" t="s">
        <v>42</v>
      </c>
      <c r="F198" t="s">
        <v>73</v>
      </c>
      <c r="G198" t="s">
        <v>35</v>
      </c>
      <c r="H198">
        <v>3970</v>
      </c>
      <c r="I198">
        <v>3382</v>
      </c>
      <c r="J198">
        <f>H198-I198</f>
        <v>588</v>
      </c>
      <c r="K198" s="6">
        <f>J198/H198</f>
        <v>0.14811083123425692</v>
      </c>
      <c r="L198" t="str">
        <f t="array" ref="L198">_xlfn.IFS(J198&gt;15000,"Excellent",J198&gt;=5000,"Good",J198&lt;5000,"Poor")</f>
        <v>Poor</v>
      </c>
      <c r="M198">
        <f t="array" ref="M198">_xlfn.XLOOKUP(G198,' Employee_Salary'!$A$1:A202,' Employee_Salary'!$B$1:B202,FALSE)</f>
        <v>40000</v>
      </c>
      <c r="N198" s="9">
        <f>M198/H198</f>
        <v>10.075566750629722</v>
      </c>
      <c r="O198" s="9">
        <f>IF(D198="Electronics",H198*5%,IF(D198="Furniture",H198*8%,0))</f>
        <v>317.60000000000002</v>
      </c>
      <c r="P198">
        <f>_xlfn.RANK.EQ(H198,$H$2:$H$201,0)</f>
        <v>195</v>
      </c>
      <c r="Q198">
        <f>SUMIFS($H$2:$H$201,$B$2:$B$201,"&lt;="&amp;B198)</f>
        <v>1502635</v>
      </c>
    </row>
    <row r="199" spans="1:17" x14ac:dyDescent="0.35">
      <c r="A199">
        <v>198</v>
      </c>
      <c r="B199" s="1">
        <v>45710</v>
      </c>
      <c r="C199" t="s">
        <v>17</v>
      </c>
      <c r="D199" t="s">
        <v>10</v>
      </c>
      <c r="E199" t="s">
        <v>42</v>
      </c>
      <c r="F199" t="s">
        <v>73</v>
      </c>
      <c r="G199" t="s">
        <v>35</v>
      </c>
      <c r="H199">
        <v>7069</v>
      </c>
      <c r="I199">
        <v>4510</v>
      </c>
      <c r="J199">
        <f>H199-I199</f>
        <v>2559</v>
      </c>
      <c r="K199" s="6">
        <f>J199/H199</f>
        <v>0.36200311217994058</v>
      </c>
      <c r="L199" t="str">
        <f t="array" ref="L199">_xlfn.IFS(J199&gt;15000,"Excellent",J199&gt;=5000,"Good",J199&lt;5000,"Poor")</f>
        <v>Poor</v>
      </c>
      <c r="M199">
        <f t="array" ref="M199">_xlfn.XLOOKUP(G199,' Employee_Salary'!$A$1:A203,' Employee_Salary'!$B$1:B203,FALSE)</f>
        <v>40000</v>
      </c>
      <c r="N199" s="9">
        <f>M199/H199</f>
        <v>5.65850898288301</v>
      </c>
      <c r="O199" s="9">
        <f>IF(D199="Electronics",H199*5%,IF(D199="Furniture",H199*8%,0))</f>
        <v>565.52</v>
      </c>
      <c r="P199">
        <f>_xlfn.RANK.EQ(H199,$H$2:$H$201,0)</f>
        <v>170</v>
      </c>
      <c r="Q199">
        <f>SUMIFS($H$2:$H$201,$B$2:$B$201,"&lt;="&amp;B199)</f>
        <v>2944836</v>
      </c>
    </row>
    <row r="200" spans="1:17" x14ac:dyDescent="0.35">
      <c r="A200">
        <v>199</v>
      </c>
      <c r="B200" s="1">
        <v>45707</v>
      </c>
      <c r="C200" t="s">
        <v>14</v>
      </c>
      <c r="D200" t="s">
        <v>18</v>
      </c>
      <c r="E200" t="s">
        <v>19</v>
      </c>
      <c r="F200" t="s">
        <v>30</v>
      </c>
      <c r="G200" t="s">
        <v>35</v>
      </c>
      <c r="H200">
        <v>17934</v>
      </c>
      <c r="I200">
        <v>14381</v>
      </c>
      <c r="J200">
        <f>H200-I200</f>
        <v>3553</v>
      </c>
      <c r="K200" s="6">
        <f>J200/H200</f>
        <v>0.19811531169844987</v>
      </c>
      <c r="L200" t="str">
        <f t="array" ref="L200">_xlfn.IFS(J200&gt;15000,"Excellent",J200&gt;=5000,"Good",J200&lt;5000,"Poor")</f>
        <v>Poor</v>
      </c>
      <c r="M200">
        <f t="array" ref="M200">_xlfn.XLOOKUP(G200,' Employee_Salary'!$A$1:A204,' Employee_Salary'!$B$1:B204,FALSE)</f>
        <v>40000</v>
      </c>
      <c r="N200" s="9">
        <f>M200/H200</f>
        <v>2.2304003568640569</v>
      </c>
      <c r="O200" s="9">
        <f>IF(D200="Electronics",H200*5%,IF(D200="Furniture",H200*8%,0))</f>
        <v>896.7</v>
      </c>
      <c r="P200">
        <f>_xlfn.RANK.EQ(H200,$H$2:$H$201,0)</f>
        <v>83</v>
      </c>
      <c r="Q200">
        <f>SUMIFS($H$2:$H$201,$B$2:$B$201,"&lt;="&amp;B200)</f>
        <v>2808628</v>
      </c>
    </row>
    <row r="201" spans="1:17" x14ac:dyDescent="0.35">
      <c r="A201">
        <v>200</v>
      </c>
      <c r="B201" s="1">
        <v>45683</v>
      </c>
      <c r="C201" t="s">
        <v>37</v>
      </c>
      <c r="D201" t="s">
        <v>18</v>
      </c>
      <c r="E201" t="s">
        <v>29</v>
      </c>
      <c r="F201" t="s">
        <v>43</v>
      </c>
      <c r="G201" t="s">
        <v>35</v>
      </c>
      <c r="H201">
        <v>6437</v>
      </c>
      <c r="I201">
        <v>4292</v>
      </c>
      <c r="J201">
        <f>H201-I201</f>
        <v>2145</v>
      </c>
      <c r="K201" s="6">
        <f>J201/H201</f>
        <v>0.33322976541867327</v>
      </c>
      <c r="L201" t="str">
        <f t="array" ref="L201">_xlfn.IFS(J201&gt;15000,"Excellent",J201&gt;=5000,"Good",J201&lt;5000,"Poor")</f>
        <v>Poor</v>
      </c>
      <c r="M201">
        <f t="array" ref="M201">_xlfn.XLOOKUP(G201,' Employee_Salary'!$A$1:A205,' Employee_Salary'!$B$1:B205,FALSE)</f>
        <v>40000</v>
      </c>
      <c r="N201" s="9">
        <f>M201/H201</f>
        <v>6.2140748796022995</v>
      </c>
      <c r="O201" s="9">
        <f>IF(D201="Electronics",H201*5%,IF(D201="Furniture",H201*8%,0))</f>
        <v>321.85000000000002</v>
      </c>
      <c r="P201">
        <f>_xlfn.RANK.EQ(H201,$H$2:$H$201,0)</f>
        <v>174</v>
      </c>
      <c r="Q201">
        <f>SUMIFS($H$2:$H$201,$B$2:$B$201,"&lt;="&amp;B201)</f>
        <v>1589196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4985-2518-4947-A8DA-B7B529D167FF}">
  <dimension ref="A1:L231"/>
  <sheetViews>
    <sheetView workbookViewId="0">
      <selection activeCell="L18" sqref="L18"/>
    </sheetView>
  </sheetViews>
  <sheetFormatPr defaultRowHeight="14.5" x14ac:dyDescent="0.35"/>
  <cols>
    <col min="1" max="1" width="12.36328125" bestFit="1" customWidth="1"/>
    <col min="2" max="2" width="21.90625" bestFit="1" customWidth="1"/>
    <col min="5" max="5" width="12.36328125" bestFit="1" customWidth="1"/>
    <col min="6" max="6" width="11.81640625" bestFit="1" customWidth="1"/>
    <col min="8" max="8" width="12.36328125" bestFit="1" customWidth="1"/>
    <col min="9" max="9" width="11.26953125" bestFit="1" customWidth="1"/>
    <col min="11" max="11" width="12.36328125" bestFit="1" customWidth="1"/>
    <col min="12" max="12" width="11.26953125" bestFit="1" customWidth="1"/>
  </cols>
  <sheetData>
    <row r="1" spans="1:12" x14ac:dyDescent="0.35">
      <c r="H1" s="18" t="s">
        <v>192</v>
      </c>
      <c r="I1" s="18"/>
    </row>
    <row r="2" spans="1:12" x14ac:dyDescent="0.35">
      <c r="A2" s="18" t="s">
        <v>190</v>
      </c>
      <c r="B2" s="18"/>
      <c r="H2" s="14" t="s">
        <v>183</v>
      </c>
      <c r="I2" t="s">
        <v>185</v>
      </c>
    </row>
    <row r="3" spans="1:12" x14ac:dyDescent="0.35">
      <c r="A3" s="14" t="s">
        <v>183</v>
      </c>
      <c r="B3" t="s">
        <v>185</v>
      </c>
      <c r="F3" t="str">
        <f>H3</f>
        <v>Aisha</v>
      </c>
      <c r="H3" s="15" t="s">
        <v>28</v>
      </c>
      <c r="I3" s="13">
        <v>750452</v>
      </c>
    </row>
    <row r="4" spans="1:12" x14ac:dyDescent="0.35">
      <c r="A4" s="15" t="s">
        <v>37</v>
      </c>
      <c r="B4" s="13">
        <v>788936</v>
      </c>
      <c r="H4" s="15" t="s">
        <v>23</v>
      </c>
      <c r="I4" s="13">
        <v>693403</v>
      </c>
    </row>
    <row r="5" spans="1:12" x14ac:dyDescent="0.35">
      <c r="A5" s="15" t="s">
        <v>14</v>
      </c>
      <c r="B5" s="13">
        <v>698385</v>
      </c>
      <c r="H5" s="15" t="s">
        <v>35</v>
      </c>
      <c r="I5" s="13">
        <v>648534</v>
      </c>
    </row>
    <row r="6" spans="1:12" x14ac:dyDescent="0.35">
      <c r="A6" s="15" t="s">
        <v>17</v>
      </c>
      <c r="B6" s="13">
        <v>866015</v>
      </c>
      <c r="H6" s="15" t="s">
        <v>33</v>
      </c>
      <c r="I6" s="13">
        <v>633574</v>
      </c>
    </row>
    <row r="7" spans="1:12" x14ac:dyDescent="0.35">
      <c r="A7" s="15" t="s">
        <v>9</v>
      </c>
      <c r="B7" s="13">
        <v>881864</v>
      </c>
      <c r="H7" s="15" t="s">
        <v>13</v>
      </c>
      <c r="I7" s="13">
        <v>509237</v>
      </c>
      <c r="K7" s="19" t="s">
        <v>194</v>
      </c>
      <c r="L7" s="19"/>
    </row>
    <row r="8" spans="1:12" x14ac:dyDescent="0.35">
      <c r="A8" s="15" t="s">
        <v>184</v>
      </c>
      <c r="B8" s="13">
        <v>3235200</v>
      </c>
      <c r="H8" s="15" t="s">
        <v>184</v>
      </c>
      <c r="I8" s="13">
        <v>3235200</v>
      </c>
      <c r="K8" s="14" t="s">
        <v>183</v>
      </c>
      <c r="L8" t="s">
        <v>185</v>
      </c>
    </row>
    <row r="9" spans="1:12" x14ac:dyDescent="0.35">
      <c r="E9" s="18" t="s">
        <v>191</v>
      </c>
      <c r="F9" s="18"/>
      <c r="K9" s="15" t="s">
        <v>37</v>
      </c>
      <c r="L9" s="16">
        <v>0.24386003956478733</v>
      </c>
    </row>
    <row r="10" spans="1:12" x14ac:dyDescent="0.35">
      <c r="E10" s="14" t="s">
        <v>183</v>
      </c>
      <c r="F10" t="s">
        <v>186</v>
      </c>
      <c r="K10" s="15" t="s">
        <v>14</v>
      </c>
      <c r="L10" s="16">
        <v>0.21587073442136498</v>
      </c>
    </row>
    <row r="11" spans="1:12" x14ac:dyDescent="0.35">
      <c r="B11" s="20">
        <f>GETPIVOTDATA("Sales",$A$3)</f>
        <v>3235200</v>
      </c>
      <c r="E11" s="15" t="s">
        <v>21</v>
      </c>
      <c r="F11" s="13">
        <v>75851</v>
      </c>
      <c r="K11" s="15" t="s">
        <v>17</v>
      </c>
      <c r="L11" s="16">
        <v>0.26768515084075173</v>
      </c>
    </row>
    <row r="12" spans="1:12" x14ac:dyDescent="0.35">
      <c r="E12" s="15" t="s">
        <v>42</v>
      </c>
      <c r="F12" s="13">
        <v>96237</v>
      </c>
      <c r="K12" s="15" t="s">
        <v>9</v>
      </c>
      <c r="L12" s="16">
        <v>0.27258407517309596</v>
      </c>
    </row>
    <row r="13" spans="1:12" x14ac:dyDescent="0.35">
      <c r="E13" s="15" t="s">
        <v>15</v>
      </c>
      <c r="F13" s="13">
        <v>116163</v>
      </c>
      <c r="H13" s="18" t="s">
        <v>193</v>
      </c>
      <c r="I13" s="18"/>
      <c r="K13" s="15" t="s">
        <v>184</v>
      </c>
      <c r="L13" s="16">
        <v>1</v>
      </c>
    </row>
    <row r="14" spans="1:12" x14ac:dyDescent="0.35">
      <c r="E14" s="15" t="s">
        <v>29</v>
      </c>
      <c r="F14" s="13">
        <v>95108</v>
      </c>
      <c r="H14" s="14" t="s">
        <v>183</v>
      </c>
      <c r="I14" t="s">
        <v>185</v>
      </c>
    </row>
    <row r="15" spans="1:12" x14ac:dyDescent="0.35">
      <c r="A15" s="18" t="s">
        <v>177</v>
      </c>
      <c r="B15" s="18"/>
      <c r="E15" s="15" t="s">
        <v>26</v>
      </c>
      <c r="F15" s="13">
        <v>110535</v>
      </c>
      <c r="H15" s="15" t="s">
        <v>187</v>
      </c>
      <c r="I15" s="13">
        <v>1789203</v>
      </c>
    </row>
    <row r="16" spans="1:12" x14ac:dyDescent="0.35">
      <c r="A16" t="s">
        <v>178</v>
      </c>
      <c r="E16" s="15" t="s">
        <v>19</v>
      </c>
      <c r="F16" s="13">
        <v>99690</v>
      </c>
      <c r="H16" s="15" t="s">
        <v>188</v>
      </c>
      <c r="I16" s="13">
        <v>1358687</v>
      </c>
    </row>
    <row r="17" spans="1:11" x14ac:dyDescent="0.35">
      <c r="A17" t="s">
        <v>179</v>
      </c>
      <c r="E17" s="15" t="s">
        <v>11</v>
      </c>
      <c r="F17" s="13">
        <v>89706</v>
      </c>
      <c r="H17" s="15" t="s">
        <v>189</v>
      </c>
      <c r="I17" s="13">
        <v>87310</v>
      </c>
    </row>
    <row r="18" spans="1:11" x14ac:dyDescent="0.35">
      <c r="A18" t="s">
        <v>180</v>
      </c>
      <c r="E18" s="15" t="s">
        <v>32</v>
      </c>
      <c r="F18" s="13">
        <v>104776</v>
      </c>
      <c r="H18" s="15" t="s">
        <v>184</v>
      </c>
      <c r="I18" s="13">
        <v>3235200</v>
      </c>
    </row>
    <row r="19" spans="1:11" x14ac:dyDescent="0.35">
      <c r="A19" t="s">
        <v>181</v>
      </c>
      <c r="E19" s="15" t="s">
        <v>184</v>
      </c>
      <c r="F19" s="13">
        <v>788066</v>
      </c>
    </row>
    <row r="20" spans="1:11" x14ac:dyDescent="0.35">
      <c r="A20" t="s">
        <v>182</v>
      </c>
    </row>
    <row r="22" spans="1:11" x14ac:dyDescent="0.35">
      <c r="F22" s="21">
        <f>GETPIVOTDATA("Profit",$E$10)</f>
        <v>788066</v>
      </c>
      <c r="I22" t="str" cm="1">
        <f t="array" ref="I22:J31">E10:F19</f>
        <v>Row Labels</v>
      </c>
      <c r="J22" t="str">
        <v>Sum of Profit</v>
      </c>
    </row>
    <row r="23" spans="1:11" x14ac:dyDescent="0.35">
      <c r="I23" t="str">
        <v>Chair</v>
      </c>
      <c r="J23">
        <v>75851</v>
      </c>
    </row>
    <row r="24" spans="1:11" x14ac:dyDescent="0.35">
      <c r="I24" t="str">
        <v>Cupboard</v>
      </c>
      <c r="J24">
        <v>96237</v>
      </c>
    </row>
    <row r="25" spans="1:11" x14ac:dyDescent="0.35">
      <c r="I25" t="str">
        <v>Desk</v>
      </c>
      <c r="J25">
        <v>116163</v>
      </c>
    </row>
    <row r="26" spans="1:11" x14ac:dyDescent="0.35">
      <c r="I26" t="str">
        <v>Headphones</v>
      </c>
      <c r="J26">
        <v>95108</v>
      </c>
    </row>
    <row r="27" spans="1:11" x14ac:dyDescent="0.35">
      <c r="A27" s="14" t="s">
        <v>183</v>
      </c>
      <c r="B27" t="s">
        <v>204</v>
      </c>
      <c r="I27" t="str">
        <v>Laptop</v>
      </c>
      <c r="J27">
        <v>110535</v>
      </c>
    </row>
    <row r="28" spans="1:11" x14ac:dyDescent="0.35">
      <c r="A28" s="15">
        <v>1</v>
      </c>
      <c r="B28" s="13">
        <v>1</v>
      </c>
      <c r="I28" t="str">
        <v>Mobile</v>
      </c>
      <c r="J28">
        <v>99690</v>
      </c>
    </row>
    <row r="29" spans="1:11" x14ac:dyDescent="0.35">
      <c r="A29" s="15">
        <v>2</v>
      </c>
      <c r="B29" s="13">
        <v>1</v>
      </c>
      <c r="I29" t="str">
        <v>Table</v>
      </c>
      <c r="J29">
        <v>89706</v>
      </c>
    </row>
    <row r="30" spans="1:11" x14ac:dyDescent="0.35">
      <c r="A30" s="15">
        <v>3</v>
      </c>
      <c r="B30" s="13">
        <v>1</v>
      </c>
      <c r="I30" t="str">
        <v>Tablet</v>
      </c>
      <c r="J30">
        <v>104776</v>
      </c>
      <c r="K30">
        <f>MAX(J23:J30)</f>
        <v>116163</v>
      </c>
    </row>
    <row r="31" spans="1:11" x14ac:dyDescent="0.35">
      <c r="A31" s="15">
        <v>4</v>
      </c>
      <c r="B31" s="13">
        <v>1</v>
      </c>
      <c r="I31" t="str">
        <v>Grand Total</v>
      </c>
      <c r="J31">
        <v>788066</v>
      </c>
    </row>
    <row r="32" spans="1:11" x14ac:dyDescent="0.35">
      <c r="A32" s="15">
        <v>5</v>
      </c>
      <c r="B32" s="13">
        <v>1</v>
      </c>
    </row>
    <row r="33" spans="1:2" x14ac:dyDescent="0.35">
      <c r="A33" s="15">
        <v>6</v>
      </c>
      <c r="B33" s="13">
        <v>1</v>
      </c>
    </row>
    <row r="34" spans="1:2" x14ac:dyDescent="0.35">
      <c r="A34" s="15">
        <v>7</v>
      </c>
      <c r="B34" s="13">
        <v>1</v>
      </c>
    </row>
    <row r="35" spans="1:2" x14ac:dyDescent="0.35">
      <c r="A35" s="15">
        <v>8</v>
      </c>
      <c r="B35" s="13">
        <v>1</v>
      </c>
    </row>
    <row r="36" spans="1:2" x14ac:dyDescent="0.35">
      <c r="A36" s="15">
        <v>9</v>
      </c>
      <c r="B36" s="13">
        <v>1</v>
      </c>
    </row>
    <row r="37" spans="1:2" x14ac:dyDescent="0.35">
      <c r="A37" s="15">
        <v>10</v>
      </c>
      <c r="B37" s="13">
        <v>1</v>
      </c>
    </row>
    <row r="38" spans="1:2" x14ac:dyDescent="0.35">
      <c r="A38" s="15">
        <v>11</v>
      </c>
      <c r="B38" s="13">
        <v>1</v>
      </c>
    </row>
    <row r="39" spans="1:2" x14ac:dyDescent="0.35">
      <c r="A39" s="15">
        <v>12</v>
      </c>
      <c r="B39" s="13">
        <v>1</v>
      </c>
    </row>
    <row r="40" spans="1:2" x14ac:dyDescent="0.35">
      <c r="A40" s="15">
        <v>13</v>
      </c>
      <c r="B40" s="13">
        <v>1</v>
      </c>
    </row>
    <row r="41" spans="1:2" x14ac:dyDescent="0.35">
      <c r="A41" s="15">
        <v>14</v>
      </c>
      <c r="B41" s="13">
        <v>1</v>
      </c>
    </row>
    <row r="42" spans="1:2" x14ac:dyDescent="0.35">
      <c r="A42" s="15">
        <v>15</v>
      </c>
      <c r="B42" s="13">
        <v>1</v>
      </c>
    </row>
    <row r="43" spans="1:2" x14ac:dyDescent="0.35">
      <c r="A43" s="15">
        <v>16</v>
      </c>
      <c r="B43" s="13">
        <v>1</v>
      </c>
    </row>
    <row r="44" spans="1:2" x14ac:dyDescent="0.35">
      <c r="A44" s="15">
        <v>17</v>
      </c>
      <c r="B44" s="13">
        <v>1</v>
      </c>
    </row>
    <row r="45" spans="1:2" x14ac:dyDescent="0.35">
      <c r="A45" s="15">
        <v>18</v>
      </c>
      <c r="B45" s="13">
        <v>1</v>
      </c>
    </row>
    <row r="46" spans="1:2" x14ac:dyDescent="0.35">
      <c r="A46" s="15">
        <v>19</v>
      </c>
      <c r="B46" s="13">
        <v>1</v>
      </c>
    </row>
    <row r="47" spans="1:2" x14ac:dyDescent="0.35">
      <c r="A47" s="15">
        <v>20</v>
      </c>
      <c r="B47" s="13">
        <v>1</v>
      </c>
    </row>
    <row r="48" spans="1:2" x14ac:dyDescent="0.35">
      <c r="A48" s="15">
        <v>21</v>
      </c>
      <c r="B48" s="13">
        <v>1</v>
      </c>
    </row>
    <row r="49" spans="1:2" x14ac:dyDescent="0.35">
      <c r="A49" s="15">
        <v>22</v>
      </c>
      <c r="B49" s="13">
        <v>1</v>
      </c>
    </row>
    <row r="50" spans="1:2" x14ac:dyDescent="0.35">
      <c r="A50" s="15">
        <v>23</v>
      </c>
      <c r="B50" s="13">
        <v>1</v>
      </c>
    </row>
    <row r="51" spans="1:2" x14ac:dyDescent="0.35">
      <c r="A51" s="15">
        <v>24</v>
      </c>
      <c r="B51" s="13">
        <v>1</v>
      </c>
    </row>
    <row r="52" spans="1:2" x14ac:dyDescent="0.35">
      <c r="A52" s="15">
        <v>25</v>
      </c>
      <c r="B52" s="13">
        <v>1</v>
      </c>
    </row>
    <row r="53" spans="1:2" x14ac:dyDescent="0.35">
      <c r="A53" s="15">
        <v>26</v>
      </c>
      <c r="B53" s="13">
        <v>1</v>
      </c>
    </row>
    <row r="54" spans="1:2" x14ac:dyDescent="0.35">
      <c r="A54" s="15">
        <v>27</v>
      </c>
      <c r="B54" s="13">
        <v>1</v>
      </c>
    </row>
    <row r="55" spans="1:2" x14ac:dyDescent="0.35">
      <c r="A55" s="15">
        <v>28</v>
      </c>
      <c r="B55" s="13">
        <v>1</v>
      </c>
    </row>
    <row r="56" spans="1:2" x14ac:dyDescent="0.35">
      <c r="A56" s="15">
        <v>29</v>
      </c>
      <c r="B56" s="13">
        <v>1</v>
      </c>
    </row>
    <row r="57" spans="1:2" x14ac:dyDescent="0.35">
      <c r="A57" s="15">
        <v>30</v>
      </c>
      <c r="B57" s="13">
        <v>1</v>
      </c>
    </row>
    <row r="58" spans="1:2" x14ac:dyDescent="0.35">
      <c r="A58" s="15">
        <v>31</v>
      </c>
      <c r="B58" s="13">
        <v>1</v>
      </c>
    </row>
    <row r="59" spans="1:2" x14ac:dyDescent="0.35">
      <c r="A59" s="15">
        <v>32</v>
      </c>
      <c r="B59" s="13">
        <v>1</v>
      </c>
    </row>
    <row r="60" spans="1:2" x14ac:dyDescent="0.35">
      <c r="A60" s="15">
        <v>33</v>
      </c>
      <c r="B60" s="13">
        <v>1</v>
      </c>
    </row>
    <row r="61" spans="1:2" x14ac:dyDescent="0.35">
      <c r="A61" s="15">
        <v>34</v>
      </c>
      <c r="B61" s="13">
        <v>1</v>
      </c>
    </row>
    <row r="62" spans="1:2" x14ac:dyDescent="0.35">
      <c r="A62" s="15">
        <v>35</v>
      </c>
      <c r="B62" s="13">
        <v>1</v>
      </c>
    </row>
    <row r="63" spans="1:2" x14ac:dyDescent="0.35">
      <c r="A63" s="15">
        <v>36</v>
      </c>
      <c r="B63" s="13">
        <v>1</v>
      </c>
    </row>
    <row r="64" spans="1:2" x14ac:dyDescent="0.35">
      <c r="A64" s="15">
        <v>37</v>
      </c>
      <c r="B64" s="13">
        <v>1</v>
      </c>
    </row>
    <row r="65" spans="1:2" x14ac:dyDescent="0.35">
      <c r="A65" s="15">
        <v>38</v>
      </c>
      <c r="B65" s="13">
        <v>1</v>
      </c>
    </row>
    <row r="66" spans="1:2" x14ac:dyDescent="0.35">
      <c r="A66" s="15">
        <v>39</v>
      </c>
      <c r="B66" s="13">
        <v>1</v>
      </c>
    </row>
    <row r="67" spans="1:2" x14ac:dyDescent="0.35">
      <c r="A67" s="15">
        <v>40</v>
      </c>
      <c r="B67" s="13">
        <v>1</v>
      </c>
    </row>
    <row r="68" spans="1:2" x14ac:dyDescent="0.35">
      <c r="A68" s="15">
        <v>41</v>
      </c>
      <c r="B68" s="13">
        <v>1</v>
      </c>
    </row>
    <row r="69" spans="1:2" x14ac:dyDescent="0.35">
      <c r="A69" s="15">
        <v>42</v>
      </c>
      <c r="B69" s="13">
        <v>1</v>
      </c>
    </row>
    <row r="70" spans="1:2" x14ac:dyDescent="0.35">
      <c r="A70" s="15">
        <v>43</v>
      </c>
      <c r="B70" s="13">
        <v>1</v>
      </c>
    </row>
    <row r="71" spans="1:2" x14ac:dyDescent="0.35">
      <c r="A71" s="15">
        <v>44</v>
      </c>
      <c r="B71" s="13">
        <v>1</v>
      </c>
    </row>
    <row r="72" spans="1:2" x14ac:dyDescent="0.35">
      <c r="A72" s="15">
        <v>45</v>
      </c>
      <c r="B72" s="13">
        <v>1</v>
      </c>
    </row>
    <row r="73" spans="1:2" x14ac:dyDescent="0.35">
      <c r="A73" s="15">
        <v>46</v>
      </c>
      <c r="B73" s="13">
        <v>1</v>
      </c>
    </row>
    <row r="74" spans="1:2" x14ac:dyDescent="0.35">
      <c r="A74" s="15">
        <v>47</v>
      </c>
      <c r="B74" s="13">
        <v>1</v>
      </c>
    </row>
    <row r="75" spans="1:2" x14ac:dyDescent="0.35">
      <c r="A75" s="15">
        <v>48</v>
      </c>
      <c r="B75" s="13">
        <v>1</v>
      </c>
    </row>
    <row r="76" spans="1:2" x14ac:dyDescent="0.35">
      <c r="A76" s="15">
        <v>49</v>
      </c>
      <c r="B76" s="13">
        <v>1</v>
      </c>
    </row>
    <row r="77" spans="1:2" x14ac:dyDescent="0.35">
      <c r="A77" s="15">
        <v>50</v>
      </c>
      <c r="B77" s="13">
        <v>1</v>
      </c>
    </row>
    <row r="78" spans="1:2" x14ac:dyDescent="0.35">
      <c r="A78" s="15">
        <v>51</v>
      </c>
      <c r="B78" s="13">
        <v>1</v>
      </c>
    </row>
    <row r="79" spans="1:2" x14ac:dyDescent="0.35">
      <c r="A79" s="15">
        <v>52</v>
      </c>
      <c r="B79" s="13">
        <v>1</v>
      </c>
    </row>
    <row r="80" spans="1:2" x14ac:dyDescent="0.35">
      <c r="A80" s="15">
        <v>53</v>
      </c>
      <c r="B80" s="13">
        <v>1</v>
      </c>
    </row>
    <row r="81" spans="1:2" x14ac:dyDescent="0.35">
      <c r="A81" s="15">
        <v>54</v>
      </c>
      <c r="B81" s="13">
        <v>1</v>
      </c>
    </row>
    <row r="82" spans="1:2" x14ac:dyDescent="0.35">
      <c r="A82" s="15">
        <v>55</v>
      </c>
      <c r="B82" s="13">
        <v>1</v>
      </c>
    </row>
    <row r="83" spans="1:2" x14ac:dyDescent="0.35">
      <c r="A83" s="15">
        <v>56</v>
      </c>
      <c r="B83" s="13">
        <v>1</v>
      </c>
    </row>
    <row r="84" spans="1:2" x14ac:dyDescent="0.35">
      <c r="A84" s="15">
        <v>57</v>
      </c>
      <c r="B84" s="13">
        <v>1</v>
      </c>
    </row>
    <row r="85" spans="1:2" x14ac:dyDescent="0.35">
      <c r="A85" s="15">
        <v>58</v>
      </c>
      <c r="B85" s="13">
        <v>1</v>
      </c>
    </row>
    <row r="86" spans="1:2" x14ac:dyDescent="0.35">
      <c r="A86" s="15">
        <v>59</v>
      </c>
      <c r="B86" s="13">
        <v>1</v>
      </c>
    </row>
    <row r="87" spans="1:2" x14ac:dyDescent="0.35">
      <c r="A87" s="15">
        <v>60</v>
      </c>
      <c r="B87" s="13">
        <v>1</v>
      </c>
    </row>
    <row r="88" spans="1:2" x14ac:dyDescent="0.35">
      <c r="A88" s="15">
        <v>61</v>
      </c>
      <c r="B88" s="13">
        <v>1</v>
      </c>
    </row>
    <row r="89" spans="1:2" x14ac:dyDescent="0.35">
      <c r="A89" s="15">
        <v>62</v>
      </c>
      <c r="B89" s="13">
        <v>1</v>
      </c>
    </row>
    <row r="90" spans="1:2" x14ac:dyDescent="0.35">
      <c r="A90" s="15">
        <v>63</v>
      </c>
      <c r="B90" s="13">
        <v>1</v>
      </c>
    </row>
    <row r="91" spans="1:2" x14ac:dyDescent="0.35">
      <c r="A91" s="15">
        <v>64</v>
      </c>
      <c r="B91" s="13">
        <v>1</v>
      </c>
    </row>
    <row r="92" spans="1:2" x14ac:dyDescent="0.35">
      <c r="A92" s="15">
        <v>65</v>
      </c>
      <c r="B92" s="13">
        <v>1</v>
      </c>
    </row>
    <row r="93" spans="1:2" x14ac:dyDescent="0.35">
      <c r="A93" s="15">
        <v>66</v>
      </c>
      <c r="B93" s="13">
        <v>1</v>
      </c>
    </row>
    <row r="94" spans="1:2" x14ac:dyDescent="0.35">
      <c r="A94" s="15">
        <v>67</v>
      </c>
      <c r="B94" s="13">
        <v>1</v>
      </c>
    </row>
    <row r="95" spans="1:2" x14ac:dyDescent="0.35">
      <c r="A95" s="15">
        <v>68</v>
      </c>
      <c r="B95" s="13">
        <v>1</v>
      </c>
    </row>
    <row r="96" spans="1:2" x14ac:dyDescent="0.35">
      <c r="A96" s="15">
        <v>69</v>
      </c>
      <c r="B96" s="13">
        <v>1</v>
      </c>
    </row>
    <row r="97" spans="1:2" x14ac:dyDescent="0.35">
      <c r="A97" s="15">
        <v>70</v>
      </c>
      <c r="B97" s="13">
        <v>1</v>
      </c>
    </row>
    <row r="98" spans="1:2" x14ac:dyDescent="0.35">
      <c r="A98" s="15">
        <v>71</v>
      </c>
      <c r="B98" s="13">
        <v>1</v>
      </c>
    </row>
    <row r="99" spans="1:2" x14ac:dyDescent="0.35">
      <c r="A99" s="15">
        <v>72</v>
      </c>
      <c r="B99" s="13">
        <v>1</v>
      </c>
    </row>
    <row r="100" spans="1:2" x14ac:dyDescent="0.35">
      <c r="A100" s="15">
        <v>73</v>
      </c>
      <c r="B100" s="13">
        <v>1</v>
      </c>
    </row>
    <row r="101" spans="1:2" x14ac:dyDescent="0.35">
      <c r="A101" s="15">
        <v>74</v>
      </c>
      <c r="B101" s="13">
        <v>1</v>
      </c>
    </row>
    <row r="102" spans="1:2" x14ac:dyDescent="0.35">
      <c r="A102" s="15">
        <v>75</v>
      </c>
      <c r="B102" s="13">
        <v>1</v>
      </c>
    </row>
    <row r="103" spans="1:2" x14ac:dyDescent="0.35">
      <c r="A103" s="15">
        <v>76</v>
      </c>
      <c r="B103" s="13">
        <v>1</v>
      </c>
    </row>
    <row r="104" spans="1:2" x14ac:dyDescent="0.35">
      <c r="A104" s="15">
        <v>77</v>
      </c>
      <c r="B104" s="13">
        <v>1</v>
      </c>
    </row>
    <row r="105" spans="1:2" x14ac:dyDescent="0.35">
      <c r="A105" s="15">
        <v>78</v>
      </c>
      <c r="B105" s="13">
        <v>1</v>
      </c>
    </row>
    <row r="106" spans="1:2" x14ac:dyDescent="0.35">
      <c r="A106" s="15">
        <v>79</v>
      </c>
      <c r="B106" s="13">
        <v>1</v>
      </c>
    </row>
    <row r="107" spans="1:2" x14ac:dyDescent="0.35">
      <c r="A107" s="15">
        <v>80</v>
      </c>
      <c r="B107" s="13">
        <v>1</v>
      </c>
    </row>
    <row r="108" spans="1:2" x14ac:dyDescent="0.35">
      <c r="A108" s="15">
        <v>81</v>
      </c>
      <c r="B108" s="13">
        <v>1</v>
      </c>
    </row>
    <row r="109" spans="1:2" x14ac:dyDescent="0.35">
      <c r="A109" s="15">
        <v>82</v>
      </c>
      <c r="B109" s="13">
        <v>1</v>
      </c>
    </row>
    <row r="110" spans="1:2" x14ac:dyDescent="0.35">
      <c r="A110" s="15">
        <v>83</v>
      </c>
      <c r="B110" s="13">
        <v>1</v>
      </c>
    </row>
    <row r="111" spans="1:2" x14ac:dyDescent="0.35">
      <c r="A111" s="15">
        <v>84</v>
      </c>
      <c r="B111" s="13">
        <v>1</v>
      </c>
    </row>
    <row r="112" spans="1:2" x14ac:dyDescent="0.35">
      <c r="A112" s="15">
        <v>85</v>
      </c>
      <c r="B112" s="13">
        <v>1</v>
      </c>
    </row>
    <row r="113" spans="1:2" x14ac:dyDescent="0.35">
      <c r="A113" s="15">
        <v>86</v>
      </c>
      <c r="B113" s="13">
        <v>1</v>
      </c>
    </row>
    <row r="114" spans="1:2" x14ac:dyDescent="0.35">
      <c r="A114" s="15">
        <v>87</v>
      </c>
      <c r="B114" s="13">
        <v>1</v>
      </c>
    </row>
    <row r="115" spans="1:2" x14ac:dyDescent="0.35">
      <c r="A115" s="15">
        <v>88</v>
      </c>
      <c r="B115" s="13">
        <v>1</v>
      </c>
    </row>
    <row r="116" spans="1:2" x14ac:dyDescent="0.35">
      <c r="A116" s="15">
        <v>89</v>
      </c>
      <c r="B116" s="13">
        <v>1</v>
      </c>
    </row>
    <row r="117" spans="1:2" x14ac:dyDescent="0.35">
      <c r="A117" s="15">
        <v>90</v>
      </c>
      <c r="B117" s="13">
        <v>1</v>
      </c>
    </row>
    <row r="118" spans="1:2" x14ac:dyDescent="0.35">
      <c r="A118" s="15">
        <v>91</v>
      </c>
      <c r="B118" s="13">
        <v>1</v>
      </c>
    </row>
    <row r="119" spans="1:2" x14ac:dyDescent="0.35">
      <c r="A119" s="15">
        <v>92</v>
      </c>
      <c r="B119" s="13">
        <v>1</v>
      </c>
    </row>
    <row r="120" spans="1:2" x14ac:dyDescent="0.35">
      <c r="A120" s="15">
        <v>93</v>
      </c>
      <c r="B120" s="13">
        <v>1</v>
      </c>
    </row>
    <row r="121" spans="1:2" x14ac:dyDescent="0.35">
      <c r="A121" s="15">
        <v>94</v>
      </c>
      <c r="B121" s="13">
        <v>1</v>
      </c>
    </row>
    <row r="122" spans="1:2" x14ac:dyDescent="0.35">
      <c r="A122" s="15">
        <v>95</v>
      </c>
      <c r="B122" s="13">
        <v>1</v>
      </c>
    </row>
    <row r="123" spans="1:2" x14ac:dyDescent="0.35">
      <c r="A123" s="15">
        <v>96</v>
      </c>
      <c r="B123" s="13">
        <v>1</v>
      </c>
    </row>
    <row r="124" spans="1:2" x14ac:dyDescent="0.35">
      <c r="A124" s="15">
        <v>97</v>
      </c>
      <c r="B124" s="13">
        <v>1</v>
      </c>
    </row>
    <row r="125" spans="1:2" x14ac:dyDescent="0.35">
      <c r="A125" s="15">
        <v>98</v>
      </c>
      <c r="B125" s="13">
        <v>1</v>
      </c>
    </row>
    <row r="126" spans="1:2" x14ac:dyDescent="0.35">
      <c r="A126" s="15">
        <v>99</v>
      </c>
      <c r="B126" s="13">
        <v>1</v>
      </c>
    </row>
    <row r="127" spans="1:2" x14ac:dyDescent="0.35">
      <c r="A127" s="15">
        <v>100</v>
      </c>
      <c r="B127" s="13">
        <v>1</v>
      </c>
    </row>
    <row r="128" spans="1:2" x14ac:dyDescent="0.35">
      <c r="A128" s="15">
        <v>101</v>
      </c>
      <c r="B128" s="13">
        <v>1</v>
      </c>
    </row>
    <row r="129" spans="1:2" x14ac:dyDescent="0.35">
      <c r="A129" s="15">
        <v>102</v>
      </c>
      <c r="B129" s="13">
        <v>1</v>
      </c>
    </row>
    <row r="130" spans="1:2" x14ac:dyDescent="0.35">
      <c r="A130" s="15">
        <v>103</v>
      </c>
      <c r="B130" s="13">
        <v>1</v>
      </c>
    </row>
    <row r="131" spans="1:2" x14ac:dyDescent="0.35">
      <c r="A131" s="15">
        <v>104</v>
      </c>
      <c r="B131" s="13">
        <v>1</v>
      </c>
    </row>
    <row r="132" spans="1:2" x14ac:dyDescent="0.35">
      <c r="A132" s="15">
        <v>105</v>
      </c>
      <c r="B132" s="13">
        <v>1</v>
      </c>
    </row>
    <row r="133" spans="1:2" x14ac:dyDescent="0.35">
      <c r="A133" s="15">
        <v>106</v>
      </c>
      <c r="B133" s="13">
        <v>1</v>
      </c>
    </row>
    <row r="134" spans="1:2" x14ac:dyDescent="0.35">
      <c r="A134" s="15">
        <v>107</v>
      </c>
      <c r="B134" s="13">
        <v>1</v>
      </c>
    </row>
    <row r="135" spans="1:2" x14ac:dyDescent="0.35">
      <c r="A135" s="15">
        <v>108</v>
      </c>
      <c r="B135" s="13">
        <v>1</v>
      </c>
    </row>
    <row r="136" spans="1:2" x14ac:dyDescent="0.35">
      <c r="A136" s="15">
        <v>109</v>
      </c>
      <c r="B136" s="13">
        <v>1</v>
      </c>
    </row>
    <row r="137" spans="1:2" x14ac:dyDescent="0.35">
      <c r="A137" s="15">
        <v>110</v>
      </c>
      <c r="B137" s="13">
        <v>1</v>
      </c>
    </row>
    <row r="138" spans="1:2" x14ac:dyDescent="0.35">
      <c r="A138" s="15">
        <v>111</v>
      </c>
      <c r="B138" s="13">
        <v>1</v>
      </c>
    </row>
    <row r="139" spans="1:2" x14ac:dyDescent="0.35">
      <c r="A139" s="15">
        <v>112</v>
      </c>
      <c r="B139" s="13">
        <v>1</v>
      </c>
    </row>
    <row r="140" spans="1:2" x14ac:dyDescent="0.35">
      <c r="A140" s="15">
        <v>113</v>
      </c>
      <c r="B140" s="13">
        <v>1</v>
      </c>
    </row>
    <row r="141" spans="1:2" x14ac:dyDescent="0.35">
      <c r="A141" s="15">
        <v>114</v>
      </c>
      <c r="B141" s="13">
        <v>1</v>
      </c>
    </row>
    <row r="142" spans="1:2" x14ac:dyDescent="0.35">
      <c r="A142" s="15">
        <v>115</v>
      </c>
      <c r="B142" s="13">
        <v>1</v>
      </c>
    </row>
    <row r="143" spans="1:2" x14ac:dyDescent="0.35">
      <c r="A143" s="15">
        <v>116</v>
      </c>
      <c r="B143" s="13">
        <v>1</v>
      </c>
    </row>
    <row r="144" spans="1:2" x14ac:dyDescent="0.35">
      <c r="A144" s="15">
        <v>117</v>
      </c>
      <c r="B144" s="13">
        <v>1</v>
      </c>
    </row>
    <row r="145" spans="1:2" x14ac:dyDescent="0.35">
      <c r="A145" s="15">
        <v>118</v>
      </c>
      <c r="B145" s="13">
        <v>1</v>
      </c>
    </row>
    <row r="146" spans="1:2" x14ac:dyDescent="0.35">
      <c r="A146" s="15">
        <v>119</v>
      </c>
      <c r="B146" s="13">
        <v>1</v>
      </c>
    </row>
    <row r="147" spans="1:2" x14ac:dyDescent="0.35">
      <c r="A147" s="15">
        <v>120</v>
      </c>
      <c r="B147" s="13">
        <v>1</v>
      </c>
    </row>
    <row r="148" spans="1:2" x14ac:dyDescent="0.35">
      <c r="A148" s="15">
        <v>121</v>
      </c>
      <c r="B148" s="13">
        <v>1</v>
      </c>
    </row>
    <row r="149" spans="1:2" x14ac:dyDescent="0.35">
      <c r="A149" s="15">
        <v>122</v>
      </c>
      <c r="B149" s="13">
        <v>1</v>
      </c>
    </row>
    <row r="150" spans="1:2" x14ac:dyDescent="0.35">
      <c r="A150" s="15">
        <v>123</v>
      </c>
      <c r="B150" s="13">
        <v>1</v>
      </c>
    </row>
    <row r="151" spans="1:2" x14ac:dyDescent="0.35">
      <c r="A151" s="15">
        <v>124</v>
      </c>
      <c r="B151" s="13">
        <v>1</v>
      </c>
    </row>
    <row r="152" spans="1:2" x14ac:dyDescent="0.35">
      <c r="A152" s="15">
        <v>125</v>
      </c>
      <c r="B152" s="13">
        <v>1</v>
      </c>
    </row>
    <row r="153" spans="1:2" x14ac:dyDescent="0.35">
      <c r="A153" s="15">
        <v>126</v>
      </c>
      <c r="B153" s="13">
        <v>1</v>
      </c>
    </row>
    <row r="154" spans="1:2" x14ac:dyDescent="0.35">
      <c r="A154" s="15">
        <v>127</v>
      </c>
      <c r="B154" s="13">
        <v>1</v>
      </c>
    </row>
    <row r="155" spans="1:2" x14ac:dyDescent="0.35">
      <c r="A155" s="15">
        <v>128</v>
      </c>
      <c r="B155" s="13">
        <v>1</v>
      </c>
    </row>
    <row r="156" spans="1:2" x14ac:dyDescent="0.35">
      <c r="A156" s="15">
        <v>129</v>
      </c>
      <c r="B156" s="13">
        <v>1</v>
      </c>
    </row>
    <row r="157" spans="1:2" x14ac:dyDescent="0.35">
      <c r="A157" s="15">
        <v>130</v>
      </c>
      <c r="B157" s="13">
        <v>1</v>
      </c>
    </row>
    <row r="158" spans="1:2" x14ac:dyDescent="0.35">
      <c r="A158" s="15">
        <v>131</v>
      </c>
      <c r="B158" s="13">
        <v>1</v>
      </c>
    </row>
    <row r="159" spans="1:2" x14ac:dyDescent="0.35">
      <c r="A159" s="15">
        <v>132</v>
      </c>
      <c r="B159" s="13">
        <v>1</v>
      </c>
    </row>
    <row r="160" spans="1:2" x14ac:dyDescent="0.35">
      <c r="A160" s="15">
        <v>133</v>
      </c>
      <c r="B160" s="13">
        <v>1</v>
      </c>
    </row>
    <row r="161" spans="1:2" x14ac:dyDescent="0.35">
      <c r="A161" s="15">
        <v>134</v>
      </c>
      <c r="B161" s="13">
        <v>1</v>
      </c>
    </row>
    <row r="162" spans="1:2" x14ac:dyDescent="0.35">
      <c r="A162" s="15">
        <v>135</v>
      </c>
      <c r="B162" s="13">
        <v>1</v>
      </c>
    </row>
    <row r="163" spans="1:2" x14ac:dyDescent="0.35">
      <c r="A163" s="15">
        <v>136</v>
      </c>
      <c r="B163" s="13">
        <v>1</v>
      </c>
    </row>
    <row r="164" spans="1:2" x14ac:dyDescent="0.35">
      <c r="A164" s="15">
        <v>137</v>
      </c>
      <c r="B164" s="13">
        <v>1</v>
      </c>
    </row>
    <row r="165" spans="1:2" x14ac:dyDescent="0.35">
      <c r="A165" s="15">
        <v>138</v>
      </c>
      <c r="B165" s="13">
        <v>1</v>
      </c>
    </row>
    <row r="166" spans="1:2" x14ac:dyDescent="0.35">
      <c r="A166" s="15">
        <v>139</v>
      </c>
      <c r="B166" s="13">
        <v>1</v>
      </c>
    </row>
    <row r="167" spans="1:2" x14ac:dyDescent="0.35">
      <c r="A167" s="15">
        <v>140</v>
      </c>
      <c r="B167" s="13">
        <v>1</v>
      </c>
    </row>
    <row r="168" spans="1:2" x14ac:dyDescent="0.35">
      <c r="A168" s="15">
        <v>141</v>
      </c>
      <c r="B168" s="13">
        <v>1</v>
      </c>
    </row>
    <row r="169" spans="1:2" x14ac:dyDescent="0.35">
      <c r="A169" s="15">
        <v>142</v>
      </c>
      <c r="B169" s="13">
        <v>1</v>
      </c>
    </row>
    <row r="170" spans="1:2" x14ac:dyDescent="0.35">
      <c r="A170" s="15">
        <v>143</v>
      </c>
      <c r="B170" s="13">
        <v>1</v>
      </c>
    </row>
    <row r="171" spans="1:2" x14ac:dyDescent="0.35">
      <c r="A171" s="15">
        <v>144</v>
      </c>
      <c r="B171" s="13">
        <v>1</v>
      </c>
    </row>
    <row r="172" spans="1:2" x14ac:dyDescent="0.35">
      <c r="A172" s="15">
        <v>145</v>
      </c>
      <c r="B172" s="13">
        <v>1</v>
      </c>
    </row>
    <row r="173" spans="1:2" x14ac:dyDescent="0.35">
      <c r="A173" s="15">
        <v>146</v>
      </c>
      <c r="B173" s="13">
        <v>1</v>
      </c>
    </row>
    <row r="174" spans="1:2" x14ac:dyDescent="0.35">
      <c r="A174" s="15">
        <v>147</v>
      </c>
      <c r="B174" s="13">
        <v>1</v>
      </c>
    </row>
    <row r="175" spans="1:2" x14ac:dyDescent="0.35">
      <c r="A175" s="15">
        <v>148</v>
      </c>
      <c r="B175" s="13">
        <v>1</v>
      </c>
    </row>
    <row r="176" spans="1:2" x14ac:dyDescent="0.35">
      <c r="A176" s="15">
        <v>149</v>
      </c>
      <c r="B176" s="13">
        <v>1</v>
      </c>
    </row>
    <row r="177" spans="1:2" x14ac:dyDescent="0.35">
      <c r="A177" s="15">
        <v>150</v>
      </c>
      <c r="B177" s="13">
        <v>1</v>
      </c>
    </row>
    <row r="178" spans="1:2" x14ac:dyDescent="0.35">
      <c r="A178" s="15">
        <v>151</v>
      </c>
      <c r="B178" s="13">
        <v>1</v>
      </c>
    </row>
    <row r="179" spans="1:2" x14ac:dyDescent="0.35">
      <c r="A179" s="15">
        <v>152</v>
      </c>
      <c r="B179" s="13">
        <v>1</v>
      </c>
    </row>
    <row r="180" spans="1:2" x14ac:dyDescent="0.35">
      <c r="A180" s="15">
        <v>153</v>
      </c>
      <c r="B180" s="13">
        <v>1</v>
      </c>
    </row>
    <row r="181" spans="1:2" x14ac:dyDescent="0.35">
      <c r="A181" s="15">
        <v>154</v>
      </c>
      <c r="B181" s="13">
        <v>1</v>
      </c>
    </row>
    <row r="182" spans="1:2" x14ac:dyDescent="0.35">
      <c r="A182" s="15">
        <v>155</v>
      </c>
      <c r="B182" s="13">
        <v>1</v>
      </c>
    </row>
    <row r="183" spans="1:2" x14ac:dyDescent="0.35">
      <c r="A183" s="15">
        <v>156</v>
      </c>
      <c r="B183" s="13">
        <v>1</v>
      </c>
    </row>
    <row r="184" spans="1:2" x14ac:dyDescent="0.35">
      <c r="A184" s="15">
        <v>157</v>
      </c>
      <c r="B184" s="13">
        <v>1</v>
      </c>
    </row>
    <row r="185" spans="1:2" x14ac:dyDescent="0.35">
      <c r="A185" s="15">
        <v>158</v>
      </c>
      <c r="B185" s="13">
        <v>1</v>
      </c>
    </row>
    <row r="186" spans="1:2" x14ac:dyDescent="0.35">
      <c r="A186" s="15">
        <v>159</v>
      </c>
      <c r="B186" s="13">
        <v>1</v>
      </c>
    </row>
    <row r="187" spans="1:2" x14ac:dyDescent="0.35">
      <c r="A187" s="15">
        <v>160</v>
      </c>
      <c r="B187" s="13">
        <v>1</v>
      </c>
    </row>
    <row r="188" spans="1:2" x14ac:dyDescent="0.35">
      <c r="A188" s="15">
        <v>161</v>
      </c>
      <c r="B188" s="13">
        <v>1</v>
      </c>
    </row>
    <row r="189" spans="1:2" x14ac:dyDescent="0.35">
      <c r="A189" s="15">
        <v>162</v>
      </c>
      <c r="B189" s="13">
        <v>1</v>
      </c>
    </row>
    <row r="190" spans="1:2" x14ac:dyDescent="0.35">
      <c r="A190" s="15">
        <v>163</v>
      </c>
      <c r="B190" s="13">
        <v>1</v>
      </c>
    </row>
    <row r="191" spans="1:2" x14ac:dyDescent="0.35">
      <c r="A191" s="15">
        <v>164</v>
      </c>
      <c r="B191" s="13">
        <v>1</v>
      </c>
    </row>
    <row r="192" spans="1:2" x14ac:dyDescent="0.35">
      <c r="A192" s="15">
        <v>165</v>
      </c>
      <c r="B192" s="13">
        <v>1</v>
      </c>
    </row>
    <row r="193" spans="1:2" x14ac:dyDescent="0.35">
      <c r="A193" s="15">
        <v>166</v>
      </c>
      <c r="B193" s="13">
        <v>1</v>
      </c>
    </row>
    <row r="194" spans="1:2" x14ac:dyDescent="0.35">
      <c r="A194" s="15">
        <v>167</v>
      </c>
      <c r="B194" s="13">
        <v>1</v>
      </c>
    </row>
    <row r="195" spans="1:2" x14ac:dyDescent="0.35">
      <c r="A195" s="15">
        <v>168</v>
      </c>
      <c r="B195" s="13">
        <v>1</v>
      </c>
    </row>
    <row r="196" spans="1:2" x14ac:dyDescent="0.35">
      <c r="A196" s="15">
        <v>169</v>
      </c>
      <c r="B196" s="13">
        <v>1</v>
      </c>
    </row>
    <row r="197" spans="1:2" x14ac:dyDescent="0.35">
      <c r="A197" s="15">
        <v>170</v>
      </c>
      <c r="B197" s="13">
        <v>1</v>
      </c>
    </row>
    <row r="198" spans="1:2" x14ac:dyDescent="0.35">
      <c r="A198" s="15">
        <v>171</v>
      </c>
      <c r="B198" s="13">
        <v>1</v>
      </c>
    </row>
    <row r="199" spans="1:2" x14ac:dyDescent="0.35">
      <c r="A199" s="15">
        <v>172</v>
      </c>
      <c r="B199" s="13">
        <v>1</v>
      </c>
    </row>
    <row r="200" spans="1:2" x14ac:dyDescent="0.35">
      <c r="A200" s="15">
        <v>173</v>
      </c>
      <c r="B200" s="13">
        <v>1</v>
      </c>
    </row>
    <row r="201" spans="1:2" x14ac:dyDescent="0.35">
      <c r="A201" s="15">
        <v>174</v>
      </c>
      <c r="B201" s="13">
        <v>1</v>
      </c>
    </row>
    <row r="202" spans="1:2" x14ac:dyDescent="0.35">
      <c r="A202" s="15">
        <v>175</v>
      </c>
      <c r="B202" s="13">
        <v>1</v>
      </c>
    </row>
    <row r="203" spans="1:2" x14ac:dyDescent="0.35">
      <c r="A203" s="15">
        <v>176</v>
      </c>
      <c r="B203" s="13">
        <v>1</v>
      </c>
    </row>
    <row r="204" spans="1:2" x14ac:dyDescent="0.35">
      <c r="A204" s="15">
        <v>177</v>
      </c>
      <c r="B204" s="13">
        <v>1</v>
      </c>
    </row>
    <row r="205" spans="1:2" x14ac:dyDescent="0.35">
      <c r="A205" s="15">
        <v>178</v>
      </c>
      <c r="B205" s="13">
        <v>1</v>
      </c>
    </row>
    <row r="206" spans="1:2" x14ac:dyDescent="0.35">
      <c r="A206" s="15">
        <v>179</v>
      </c>
      <c r="B206" s="13">
        <v>1</v>
      </c>
    </row>
    <row r="207" spans="1:2" x14ac:dyDescent="0.35">
      <c r="A207" s="15">
        <v>180</v>
      </c>
      <c r="B207" s="13">
        <v>1</v>
      </c>
    </row>
    <row r="208" spans="1:2" x14ac:dyDescent="0.35">
      <c r="A208" s="15">
        <v>181</v>
      </c>
      <c r="B208" s="13">
        <v>1</v>
      </c>
    </row>
    <row r="209" spans="1:2" x14ac:dyDescent="0.35">
      <c r="A209" s="15">
        <v>182</v>
      </c>
      <c r="B209" s="13">
        <v>1</v>
      </c>
    </row>
    <row r="210" spans="1:2" x14ac:dyDescent="0.35">
      <c r="A210" s="15">
        <v>183</v>
      </c>
      <c r="B210" s="13">
        <v>1</v>
      </c>
    </row>
    <row r="211" spans="1:2" x14ac:dyDescent="0.35">
      <c r="A211" s="15">
        <v>184</v>
      </c>
      <c r="B211" s="13">
        <v>1</v>
      </c>
    </row>
    <row r="212" spans="1:2" x14ac:dyDescent="0.35">
      <c r="A212" s="15">
        <v>185</v>
      </c>
      <c r="B212" s="13">
        <v>1</v>
      </c>
    </row>
    <row r="213" spans="1:2" x14ac:dyDescent="0.35">
      <c r="A213" s="15">
        <v>186</v>
      </c>
      <c r="B213" s="13">
        <v>1</v>
      </c>
    </row>
    <row r="214" spans="1:2" x14ac:dyDescent="0.35">
      <c r="A214" s="15">
        <v>187</v>
      </c>
      <c r="B214" s="13">
        <v>1</v>
      </c>
    </row>
    <row r="215" spans="1:2" x14ac:dyDescent="0.35">
      <c r="A215" s="15">
        <v>188</v>
      </c>
      <c r="B215" s="13">
        <v>1</v>
      </c>
    </row>
    <row r="216" spans="1:2" x14ac:dyDescent="0.35">
      <c r="A216" s="15">
        <v>189</v>
      </c>
      <c r="B216" s="13">
        <v>1</v>
      </c>
    </row>
    <row r="217" spans="1:2" x14ac:dyDescent="0.35">
      <c r="A217" s="15">
        <v>190</v>
      </c>
      <c r="B217" s="13">
        <v>1</v>
      </c>
    </row>
    <row r="218" spans="1:2" x14ac:dyDescent="0.35">
      <c r="A218" s="15">
        <v>191</v>
      </c>
      <c r="B218" s="13">
        <v>1</v>
      </c>
    </row>
    <row r="219" spans="1:2" x14ac:dyDescent="0.35">
      <c r="A219" s="15">
        <v>192</v>
      </c>
      <c r="B219" s="13">
        <v>1</v>
      </c>
    </row>
    <row r="220" spans="1:2" x14ac:dyDescent="0.35">
      <c r="A220" s="15">
        <v>193</v>
      </c>
      <c r="B220" s="13">
        <v>1</v>
      </c>
    </row>
    <row r="221" spans="1:2" x14ac:dyDescent="0.35">
      <c r="A221" s="15">
        <v>194</v>
      </c>
      <c r="B221" s="13">
        <v>1</v>
      </c>
    </row>
    <row r="222" spans="1:2" x14ac:dyDescent="0.35">
      <c r="A222" s="15">
        <v>195</v>
      </c>
      <c r="B222" s="13">
        <v>1</v>
      </c>
    </row>
    <row r="223" spans="1:2" x14ac:dyDescent="0.35">
      <c r="A223" s="15">
        <v>196</v>
      </c>
      <c r="B223" s="13">
        <v>1</v>
      </c>
    </row>
    <row r="224" spans="1:2" x14ac:dyDescent="0.35">
      <c r="A224" s="15">
        <v>197</v>
      </c>
      <c r="B224" s="13">
        <v>1</v>
      </c>
    </row>
    <row r="225" spans="1:2" x14ac:dyDescent="0.35">
      <c r="A225" s="15">
        <v>198</v>
      </c>
      <c r="B225" s="13">
        <v>1</v>
      </c>
    </row>
    <row r="226" spans="1:2" x14ac:dyDescent="0.35">
      <c r="A226" s="15">
        <v>199</v>
      </c>
      <c r="B226" s="13">
        <v>1</v>
      </c>
    </row>
    <row r="227" spans="1:2" x14ac:dyDescent="0.35">
      <c r="A227" s="15">
        <v>200</v>
      </c>
      <c r="B227" s="13">
        <v>1</v>
      </c>
    </row>
    <row r="228" spans="1:2" x14ac:dyDescent="0.35">
      <c r="A228" s="15" t="s">
        <v>184</v>
      </c>
      <c r="B228" s="13">
        <v>200</v>
      </c>
    </row>
    <row r="231" spans="1:2" x14ac:dyDescent="0.35">
      <c r="B231">
        <f>GETPIVOTDATA("CustomerName",$A$27)</f>
        <v>200</v>
      </c>
    </row>
  </sheetData>
  <mergeCells count="6">
    <mergeCell ref="A2:B2"/>
    <mergeCell ref="E9:F9"/>
    <mergeCell ref="H1:I1"/>
    <mergeCell ref="H13:I13"/>
    <mergeCell ref="K7:L7"/>
    <mergeCell ref="A15: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C810-39CC-4C90-8766-1EF8E59D4476}">
  <dimension ref="A2:N87"/>
  <sheetViews>
    <sheetView topLeftCell="A73" workbookViewId="0">
      <selection activeCell="F77" sqref="F77"/>
    </sheetView>
  </sheetViews>
  <sheetFormatPr defaultRowHeight="14.5" x14ac:dyDescent="0.35"/>
  <cols>
    <col min="1" max="1" width="12.36328125" bestFit="1" customWidth="1"/>
    <col min="2" max="2" width="11.26953125" bestFit="1" customWidth="1"/>
  </cols>
  <sheetData>
    <row r="2" spans="1:14" x14ac:dyDescent="0.35">
      <c r="A2" s="18" t="s">
        <v>200</v>
      </c>
      <c r="B2" s="18"/>
      <c r="C2" s="18"/>
      <c r="D2" s="18"/>
      <c r="E2" s="18"/>
      <c r="F2" s="18"/>
      <c r="G2" s="18"/>
      <c r="H2" s="18"/>
      <c r="I2" s="18"/>
      <c r="J2" s="18"/>
    </row>
    <row r="3" spans="1:14" x14ac:dyDescent="0.35">
      <c r="A3" s="14" t="s">
        <v>183</v>
      </c>
      <c r="B3" t="s">
        <v>185</v>
      </c>
    </row>
    <row r="4" spans="1:14" x14ac:dyDescent="0.35">
      <c r="A4" s="15" t="s">
        <v>37</v>
      </c>
      <c r="B4" s="13">
        <v>788936</v>
      </c>
    </row>
    <row r="5" spans="1:14" x14ac:dyDescent="0.35">
      <c r="A5" s="15" t="s">
        <v>14</v>
      </c>
      <c r="B5" s="13">
        <v>698385</v>
      </c>
    </row>
    <row r="6" spans="1:14" x14ac:dyDescent="0.35">
      <c r="A6" s="15" t="s">
        <v>17</v>
      </c>
      <c r="B6" s="13">
        <v>866015</v>
      </c>
      <c r="M6" s="18" t="s">
        <v>195</v>
      </c>
      <c r="N6" s="18"/>
    </row>
    <row r="7" spans="1:14" x14ac:dyDescent="0.35">
      <c r="A7" s="15" t="s">
        <v>9</v>
      </c>
      <c r="B7" s="13">
        <v>881864</v>
      </c>
      <c r="M7" t="s">
        <v>196</v>
      </c>
    </row>
    <row r="8" spans="1:14" x14ac:dyDescent="0.35">
      <c r="A8" s="15" t="s">
        <v>184</v>
      </c>
      <c r="B8" s="13">
        <v>3235200</v>
      </c>
      <c r="M8" t="s">
        <v>197</v>
      </c>
    </row>
    <row r="9" spans="1:14" x14ac:dyDescent="0.35">
      <c r="M9" t="s">
        <v>198</v>
      </c>
    </row>
    <row r="10" spans="1:14" x14ac:dyDescent="0.35">
      <c r="M10" t="s">
        <v>199</v>
      </c>
    </row>
    <row r="20" spans="1:10" x14ac:dyDescent="0.35">
      <c r="A20" s="18" t="s">
        <v>201</v>
      </c>
      <c r="B20" s="18"/>
      <c r="C20" s="18"/>
      <c r="D20" s="18"/>
      <c r="E20" s="18"/>
      <c r="F20" s="18"/>
      <c r="G20" s="18"/>
      <c r="H20" s="18"/>
      <c r="I20" s="18"/>
      <c r="J20" s="18"/>
    </row>
    <row r="21" spans="1:10" x14ac:dyDescent="0.35">
      <c r="A21" s="14" t="s">
        <v>183</v>
      </c>
      <c r="B21" t="s">
        <v>185</v>
      </c>
    </row>
    <row r="22" spans="1:10" x14ac:dyDescent="0.35">
      <c r="A22" s="15" t="s">
        <v>18</v>
      </c>
      <c r="B22" s="13">
        <v>1638383</v>
      </c>
    </row>
    <row r="23" spans="1:10" x14ac:dyDescent="0.35">
      <c r="A23" s="15" t="s">
        <v>10</v>
      </c>
      <c r="B23" s="13">
        <v>1596817</v>
      </c>
    </row>
    <row r="24" spans="1:10" x14ac:dyDescent="0.35">
      <c r="A24" s="15" t="s">
        <v>184</v>
      </c>
      <c r="B24" s="13">
        <v>3235200</v>
      </c>
    </row>
    <row r="37" spans="1:10" x14ac:dyDescent="0.35">
      <c r="A37" s="18" t="s">
        <v>202</v>
      </c>
      <c r="B37" s="18"/>
      <c r="C37" s="18"/>
      <c r="D37" s="18"/>
      <c r="E37" s="18"/>
      <c r="F37" s="18"/>
      <c r="G37" s="18"/>
      <c r="H37" s="18"/>
      <c r="I37" s="18"/>
      <c r="J37" s="18"/>
    </row>
    <row r="39" spans="1:10" x14ac:dyDescent="0.35">
      <c r="A39" s="14" t="s">
        <v>183</v>
      </c>
      <c r="B39" t="s">
        <v>185</v>
      </c>
    </row>
    <row r="40" spans="1:10" x14ac:dyDescent="0.35">
      <c r="A40" s="15" t="s">
        <v>187</v>
      </c>
      <c r="B40" s="13">
        <v>1789203</v>
      </c>
    </row>
    <row r="41" spans="1:10" x14ac:dyDescent="0.35">
      <c r="A41" s="15" t="s">
        <v>188</v>
      </c>
      <c r="B41" s="13">
        <v>1358687</v>
      </c>
    </row>
    <row r="42" spans="1:10" x14ac:dyDescent="0.35">
      <c r="A42" s="15" t="s">
        <v>189</v>
      </c>
      <c r="B42" s="13">
        <v>87310</v>
      </c>
    </row>
    <row r="43" spans="1:10" x14ac:dyDescent="0.35">
      <c r="A43" s="15" t="s">
        <v>184</v>
      </c>
      <c r="B43" s="13">
        <v>3235200</v>
      </c>
    </row>
    <row r="55" spans="1:11" x14ac:dyDescent="0.35">
      <c r="A55" s="18" t="s">
        <v>203</v>
      </c>
      <c r="B55" s="18"/>
      <c r="C55" s="18"/>
      <c r="D55" s="18"/>
      <c r="E55" s="18"/>
      <c r="F55" s="18"/>
      <c r="G55" s="18"/>
      <c r="H55" s="18"/>
      <c r="I55" s="18"/>
      <c r="J55" s="18"/>
      <c r="K55" s="18"/>
    </row>
    <row r="56" spans="1:11" x14ac:dyDescent="0.35">
      <c r="A56" s="14" t="s">
        <v>183</v>
      </c>
      <c r="B56" t="s">
        <v>185</v>
      </c>
    </row>
    <row r="57" spans="1:11" x14ac:dyDescent="0.35">
      <c r="A57" s="15" t="s">
        <v>28</v>
      </c>
      <c r="B57" s="13">
        <v>750452</v>
      </c>
    </row>
    <row r="58" spans="1:11" x14ac:dyDescent="0.35">
      <c r="A58" s="15" t="s">
        <v>23</v>
      </c>
      <c r="B58" s="13">
        <v>693403</v>
      </c>
    </row>
    <row r="59" spans="1:11" x14ac:dyDescent="0.35">
      <c r="A59" s="15" t="s">
        <v>35</v>
      </c>
      <c r="B59" s="13">
        <v>648534</v>
      </c>
    </row>
    <row r="60" spans="1:11" x14ac:dyDescent="0.35">
      <c r="A60" s="15" t="s">
        <v>33</v>
      </c>
      <c r="B60" s="13">
        <v>633574</v>
      </c>
    </row>
    <row r="61" spans="1:11" x14ac:dyDescent="0.35">
      <c r="A61" s="15" t="s">
        <v>13</v>
      </c>
      <c r="B61" s="13">
        <v>509237</v>
      </c>
    </row>
    <row r="62" spans="1:11" x14ac:dyDescent="0.35">
      <c r="A62" s="15" t="s">
        <v>184</v>
      </c>
      <c r="B62" s="13">
        <v>3235200</v>
      </c>
    </row>
    <row r="75" spans="2:5" x14ac:dyDescent="0.35">
      <c r="B75" s="18" t="s">
        <v>223</v>
      </c>
      <c r="C75" s="18"/>
      <c r="D75" s="18"/>
      <c r="E75" s="18"/>
    </row>
    <row r="76" spans="2:5" x14ac:dyDescent="0.35">
      <c r="B76" t="s">
        <v>224</v>
      </c>
    </row>
    <row r="77" spans="2:5" x14ac:dyDescent="0.35">
      <c r="B77" t="s">
        <v>225</v>
      </c>
    </row>
    <row r="78" spans="2:5" x14ac:dyDescent="0.35">
      <c r="B78" t="s">
        <v>226</v>
      </c>
    </row>
    <row r="79" spans="2:5" x14ac:dyDescent="0.35">
      <c r="B79" t="s">
        <v>227</v>
      </c>
    </row>
    <row r="80" spans="2:5" x14ac:dyDescent="0.35">
      <c r="B80" t="s">
        <v>228</v>
      </c>
    </row>
    <row r="81" spans="2:2" x14ac:dyDescent="0.35">
      <c r="B81" t="s">
        <v>229</v>
      </c>
    </row>
    <row r="82" spans="2:2" x14ac:dyDescent="0.35">
      <c r="B82" t="s">
        <v>230</v>
      </c>
    </row>
    <row r="83" spans="2:2" x14ac:dyDescent="0.35">
      <c r="B83" t="s">
        <v>231</v>
      </c>
    </row>
    <row r="84" spans="2:2" x14ac:dyDescent="0.35">
      <c r="B84" t="s">
        <v>232</v>
      </c>
    </row>
    <row r="85" spans="2:2" x14ac:dyDescent="0.35">
      <c r="B85" t="s">
        <v>233</v>
      </c>
    </row>
    <row r="86" spans="2:2" x14ac:dyDescent="0.35">
      <c r="B86" t="s">
        <v>234</v>
      </c>
    </row>
    <row r="87" spans="2:2" x14ac:dyDescent="0.35">
      <c r="B87" t="s">
        <v>235</v>
      </c>
    </row>
  </sheetData>
  <mergeCells count="6">
    <mergeCell ref="A2:J2"/>
    <mergeCell ref="A20:J20"/>
    <mergeCell ref="A37:J37"/>
    <mergeCell ref="A55:K55"/>
    <mergeCell ref="M6:N6"/>
    <mergeCell ref="B75:E75"/>
  </mergeCell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5090-956B-4DC1-9469-6C3B7DCAF91B}">
  <dimension ref="A1"/>
  <sheetViews>
    <sheetView showGridLines="0" tabSelected="1" zoomScale="80" zoomScaleNormal="80" workbookViewId="0">
      <selection activeCell="T7" sqref="T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BE7A-C033-4266-A5FF-A45B9C65E2F0}">
  <dimension ref="A3:N37"/>
  <sheetViews>
    <sheetView showGridLines="0" topLeftCell="A25" workbookViewId="0">
      <selection activeCell="M40" sqref="M40"/>
    </sheetView>
  </sheetViews>
  <sheetFormatPr defaultRowHeight="14.5" x14ac:dyDescent="0.35"/>
  <sheetData>
    <row r="3" spans="2:13" x14ac:dyDescent="0.35">
      <c r="B3" s="18" t="s">
        <v>205</v>
      </c>
      <c r="C3" s="18"/>
      <c r="D3" s="18"/>
      <c r="E3" s="18"/>
    </row>
    <row r="5" spans="2:13" x14ac:dyDescent="0.35">
      <c r="B5" s="17" t="s">
        <v>218</v>
      </c>
      <c r="C5" s="17"/>
      <c r="D5" s="17"/>
      <c r="E5" s="17"/>
      <c r="F5" s="17"/>
      <c r="G5" s="17"/>
      <c r="H5" s="17"/>
      <c r="I5" s="17"/>
      <c r="J5" s="17"/>
    </row>
    <row r="7" spans="2:13" x14ac:dyDescent="0.35">
      <c r="B7" s="17" t="s">
        <v>206</v>
      </c>
      <c r="C7" s="17"/>
      <c r="D7" s="17"/>
      <c r="E7" s="17"/>
      <c r="F7" s="17"/>
      <c r="G7" s="17"/>
      <c r="H7" s="17"/>
      <c r="I7" s="17"/>
      <c r="J7" s="17"/>
      <c r="K7" s="17"/>
      <c r="L7" s="17"/>
      <c r="M7" s="17"/>
    </row>
    <row r="9" spans="2:13" x14ac:dyDescent="0.35">
      <c r="B9" s="18" t="s">
        <v>207</v>
      </c>
      <c r="C9" s="18"/>
      <c r="D9" s="18"/>
    </row>
    <row r="11" spans="2:13" x14ac:dyDescent="0.35">
      <c r="B11" s="11" t="s">
        <v>219</v>
      </c>
      <c r="C11" s="11"/>
      <c r="D11" s="11"/>
      <c r="E11" s="11"/>
      <c r="F11" s="11"/>
      <c r="G11" s="11"/>
      <c r="H11" s="11"/>
      <c r="I11" s="11"/>
    </row>
    <row r="13" spans="2:13" x14ac:dyDescent="0.35">
      <c r="B13" t="s">
        <v>208</v>
      </c>
    </row>
    <row r="15" spans="2:13" x14ac:dyDescent="0.35">
      <c r="B15" s="18" t="s">
        <v>209</v>
      </c>
      <c r="C15" s="18"/>
      <c r="D15" s="18"/>
      <c r="E15" s="18"/>
      <c r="F15" s="18"/>
    </row>
    <row r="17" spans="1:12" x14ac:dyDescent="0.35">
      <c r="B17" s="11" t="s">
        <v>210</v>
      </c>
      <c r="C17" s="11"/>
      <c r="D17" s="11"/>
      <c r="E17" s="11"/>
      <c r="F17" s="11"/>
      <c r="G17" s="11"/>
      <c r="H17" s="11"/>
    </row>
    <row r="19" spans="1:12" x14ac:dyDescent="0.35">
      <c r="B19" s="17" t="s">
        <v>211</v>
      </c>
      <c r="C19" s="17"/>
      <c r="D19" s="17"/>
      <c r="E19" s="17"/>
      <c r="F19" s="17"/>
      <c r="G19" s="17"/>
      <c r="H19" s="17"/>
      <c r="I19" s="17"/>
      <c r="J19" s="17"/>
      <c r="K19" s="17"/>
      <c r="L19" s="17"/>
    </row>
    <row r="21" spans="1:12" x14ac:dyDescent="0.35">
      <c r="B21" s="18" t="s">
        <v>212</v>
      </c>
      <c r="C21" s="18"/>
      <c r="D21" s="18"/>
      <c r="E21" s="18"/>
    </row>
    <row r="23" spans="1:12" x14ac:dyDescent="0.35">
      <c r="B23" s="17" t="s">
        <v>213</v>
      </c>
      <c r="C23" s="17"/>
      <c r="D23" s="17"/>
      <c r="E23" s="17"/>
      <c r="F23" s="17"/>
      <c r="G23" s="17"/>
      <c r="H23" s="17"/>
      <c r="I23" s="17"/>
    </row>
    <row r="25" spans="1:12" x14ac:dyDescent="0.35">
      <c r="B25" s="17" t="s">
        <v>214</v>
      </c>
      <c r="C25" s="17"/>
      <c r="D25" s="17"/>
      <c r="E25" s="17"/>
      <c r="F25" s="17"/>
      <c r="G25" s="17"/>
      <c r="H25" s="17"/>
      <c r="I25" s="17"/>
      <c r="J25" s="17"/>
    </row>
    <row r="27" spans="1:12" x14ac:dyDescent="0.35">
      <c r="A27" s="18" t="s">
        <v>215</v>
      </c>
      <c r="B27" s="18"/>
      <c r="C27" s="18"/>
      <c r="D27" s="18"/>
      <c r="E27" s="18"/>
    </row>
    <row r="29" spans="1:12" x14ac:dyDescent="0.35">
      <c r="B29" s="17" t="s">
        <v>216</v>
      </c>
      <c r="C29" s="17"/>
      <c r="D29" s="17"/>
      <c r="E29" s="17"/>
      <c r="F29" s="17"/>
      <c r="G29" s="17"/>
      <c r="H29" s="17"/>
      <c r="I29" s="17"/>
      <c r="J29" s="17"/>
    </row>
    <row r="31" spans="1:12" x14ac:dyDescent="0.35">
      <c r="B31" s="17" t="s">
        <v>217</v>
      </c>
      <c r="C31" s="17"/>
      <c r="D31" s="17"/>
      <c r="E31" s="17"/>
      <c r="F31" s="17"/>
      <c r="G31" s="17"/>
      <c r="H31" s="17"/>
      <c r="I31" s="17"/>
      <c r="J31" s="17"/>
      <c r="K31" s="17"/>
      <c r="L31" s="17"/>
    </row>
    <row r="33" spans="2:14" x14ac:dyDescent="0.35">
      <c r="B33" s="23" t="s">
        <v>222</v>
      </c>
      <c r="C33" s="23"/>
      <c r="D33" s="23"/>
      <c r="E33" s="23"/>
      <c r="F33" s="23"/>
      <c r="G33" s="23"/>
      <c r="H33" s="23"/>
      <c r="I33" s="23"/>
      <c r="J33" s="23"/>
      <c r="K33" s="23"/>
      <c r="L33" s="23"/>
    </row>
    <row r="35" spans="2:14" x14ac:dyDescent="0.35">
      <c r="B35" s="22" t="s">
        <v>220</v>
      </c>
      <c r="C35" s="22"/>
      <c r="D35" s="22"/>
      <c r="E35" s="22"/>
      <c r="F35" s="22"/>
      <c r="G35" s="22"/>
      <c r="H35" s="22"/>
      <c r="I35" s="22"/>
      <c r="J35" s="22"/>
      <c r="K35" s="22"/>
      <c r="L35" s="22"/>
      <c r="M35" s="22"/>
      <c r="N35" s="22"/>
    </row>
    <row r="37" spans="2:14" x14ac:dyDescent="0.35">
      <c r="C37" s="22" t="s">
        <v>221</v>
      </c>
      <c r="D37" s="22"/>
      <c r="E37" s="22"/>
      <c r="F37" s="22"/>
      <c r="G37" s="22"/>
      <c r="H37" s="22"/>
      <c r="I37" s="22"/>
      <c r="J37" s="22"/>
      <c r="K37" s="22"/>
    </row>
  </sheetData>
  <mergeCells count="15">
    <mergeCell ref="B29:J29"/>
    <mergeCell ref="B31:L31"/>
    <mergeCell ref="B33:L33"/>
    <mergeCell ref="B35:N35"/>
    <mergeCell ref="C37:K37"/>
    <mergeCell ref="B19:L19"/>
    <mergeCell ref="B21:E21"/>
    <mergeCell ref="B23:I23"/>
    <mergeCell ref="B25:J25"/>
    <mergeCell ref="A27:E27"/>
    <mergeCell ref="B5:J5"/>
    <mergeCell ref="B7:M7"/>
    <mergeCell ref="B3:E3"/>
    <mergeCell ref="B9:D9"/>
    <mergeCell ref="B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Excel_Data_Analytics_Dataset</vt:lpstr>
      <vt:lpstr> Employee_Salary</vt:lpstr>
      <vt:lpstr>Assg -1</vt:lpstr>
      <vt:lpstr>Assg-2</vt:lpstr>
      <vt:lpstr>Assg</vt:lpstr>
      <vt:lpstr>Product</vt:lpstr>
      <vt:lpstr>Pivot 1</vt:lpstr>
      <vt:lpstr>pivot Tables</vt:lpstr>
      <vt:lpstr>Charts</vt:lpstr>
      <vt:lpstr>Dashboard</vt:lpstr>
      <vt:lpstr>Final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Kusuma B.G</cp:lastModifiedBy>
  <dcterms:created xsi:type="dcterms:W3CDTF">2026-04-07T07:45:30Z</dcterms:created>
  <dcterms:modified xsi:type="dcterms:W3CDTF">2026-07-18T06:36:47Z</dcterms:modified>
</cp:coreProperties>
</file>